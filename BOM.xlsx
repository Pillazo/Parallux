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<sst xmlns="http://schemas.openxmlformats.org/spreadsheetml/2006/main" count="174" uniqueCount="170">
  <si>
    <t>Item</t>
  </si>
  <si>
    <t>Qty</t>
  </si>
  <si>
    <t>Set</t>
  </si>
  <si>
    <t>Price per Set</t>
  </si>
  <si>
    <t>Price</t>
  </si>
  <si>
    <t>Sub Total</t>
  </si>
  <si>
    <t>Total</t>
  </si>
  <si>
    <t>Link</t>
  </si>
  <si>
    <t>LEDs</t>
  </si>
  <si>
    <t>https://www.amazon.com/dp/B0D91GZTSC</t>
  </si>
  <si>
    <t>Buck Conv 3A</t>
  </si>
  <si>
    <t>https://www.amazon.com/dp/B08DHS5XVK</t>
  </si>
  <si>
    <t>Slip Ring</t>
  </si>
  <si>
    <t>https://www.amazon.com/dp/B07QPNXXBQ</t>
  </si>
  <si>
    <t>Lenses</t>
  </si>
  <si>
    <t>https://www.amazon.com/dp/B0BR5Q6FN8</t>
  </si>
  <si>
    <t>Mirrors</t>
  </si>
  <si>
    <t>https://www.amazon.com/dp/B07C1G5RKJ</t>
  </si>
  <si>
    <t>Heat Sinks</t>
  </si>
  <si>
    <t>https://www.amazon.com/dp/B07SMX1DB7</t>
  </si>
  <si>
    <t>Aluminum Rod</t>
  </si>
  <si>
    <t>https://www.amazon.com/dp/B0CKXY1CXG</t>
  </si>
  <si>
    <t>ESP32-C3 Super Mini</t>
  </si>
  <si>
    <t>https://www.amazon.com/dp/B0DFWG87JS</t>
  </si>
  <si>
    <t>Stepper Driver</t>
  </si>
  <si>
    <t>https://www.amazon.com/dp/B08WZFK9KT</t>
  </si>
  <si>
    <t>Large Steppers</t>
  </si>
  <si>
    <t>https://www.amazon.com/dp/B0B38H2ZMR</t>
  </si>
  <si>
    <t>Fans</t>
  </si>
  <si>
    <t>https://www.amazon.com/dp/B081338TWF</t>
  </si>
  <si>
    <t>LED Cables</t>
  </si>
  <si>
    <t>https://www.amazon.com/dp/B0D3LWW86H</t>
  </si>
  <si>
    <t>Small Bearing</t>
  </si>
  <si>
    <t>https://www.amazon.com/dp/B09PKD8QZZ</t>
  </si>
  <si>
    <t>Small Steppers</t>
  </si>
  <si>
    <t>https://www.amazon.com/dp/B00LPK0E5A</t>
  </si>
  <si>
    <t>PowerCon Connectors</t>
  </si>
  <si>
    <t>https://www.amazon.com/dp/B0CQVB3CF2</t>
  </si>
  <si>
    <t>Power Supply</t>
  </si>
  <si>
    <t>https://www.amazon.com/dp/B013ETVO12</t>
  </si>
  <si>
    <t>Screw Terminals</t>
  </si>
  <si>
    <t>https://www.amazon.com/dp/B09F6TC7RP</t>
  </si>
  <si>
    <t>Teensy 4.1</t>
  </si>
  <si>
    <t>https://www.sparkfun.com/teensy-4-1.html</t>
  </si>
  <si>
    <t>Teensy Ethernet</t>
  </si>
  <si>
    <t>https://www.sparkfun.com/ethernet-kit-for-teensy-4-1.html</t>
  </si>
  <si>
    <t>M3x6mm</t>
  </si>
  <si>
    <t>https://www.amazon.com/dp/B0DJQGCS36</t>
  </si>
  <si>
    <t>M3x10mm</t>
  </si>
  <si>
    <t>https://www.amazon.com/dp/B0DJQGGDP2</t>
  </si>
  <si>
    <t>M4x6mm</t>
  </si>
  <si>
    <t>https://www.amazon.com/dp/B0DYS5W46C</t>
  </si>
  <si>
    <t>M4x12mm</t>
  </si>
  <si>
    <t>https://www.amazon.com/dp/B0DYRZQQZT</t>
  </si>
  <si>
    <t>M4x12 Flat Head</t>
  </si>
  <si>
    <t>https://www.amazon.com/dp/B0CTHK3NLP</t>
  </si>
  <si>
    <t>M4x20mm</t>
  </si>
  <si>
    <t>https://www.amazon.com/dp/B0DYSQZHC9</t>
  </si>
  <si>
    <t>M4x30 Flat Head</t>
  </si>
  <si>
    <t>https://www.amazon.com/dp/B0FWCTL3XG</t>
  </si>
  <si>
    <t>m4X35mm</t>
  </si>
  <si>
    <t>https://www.amazon.com/dp/B0DYNFH87B</t>
  </si>
  <si>
    <t>M6x25mm</t>
  </si>
  <si>
    <t>https://www.amazon.com/dp/B0FX3Z9DPT</t>
  </si>
  <si>
    <t>M6x40mm</t>
  </si>
  <si>
    <t>https://www.amazon.com/dp/B0FX425KPN</t>
  </si>
  <si>
    <t>M10x30mm</t>
  </si>
  <si>
    <t>https://www.amazon.com/dp/B0DJS5RGWF</t>
  </si>
  <si>
    <t>M10x40mm</t>
  </si>
  <si>
    <t>https://www.amazon.com/dp/B0DFYL4ZWN</t>
  </si>
  <si>
    <t>M10x70mm</t>
  </si>
  <si>
    <t>https://www.amazon.com/dp/B0D83CJF9C</t>
  </si>
  <si>
    <t>M3 Nyloc</t>
  </si>
  <si>
    <t>https://www.amazon.com/dp/B0D146SHYF</t>
  </si>
  <si>
    <t>Flat Bearing</t>
  </si>
  <si>
    <t>https://www.amazon.com/dp/B0F9B1SBCT</t>
  </si>
  <si>
    <t>Big Bearing</t>
  </si>
  <si>
    <t>https://www.amazon.com/dp/B0D5M2LNSG</t>
  </si>
  <si>
    <t>Aluminum Extrusion 385mm</t>
  </si>
  <si>
    <t>https://www.amazon.com/dp/B00J7W1A6U</t>
  </si>
  <si>
    <t>Aluminum Extrusion 475mm</t>
  </si>
  <si>
    <t>LightDisc Board</t>
  </si>
  <si>
    <t>Thermistor</t>
  </si>
  <si>
    <t>https://www.digikey.com/en/products/detail/vishay-beyschlag-draloric-bc-components/NTCLE100E3103JB0/769411</t>
  </si>
  <si>
    <t>LED Driver</t>
  </si>
  <si>
    <t>https://www.digikey.com/en/products/detail/diodes-incorporated/AL8860WT-7/6226978</t>
  </si>
  <si>
    <t>10K Resistor</t>
  </si>
  <si>
    <t>https://www.digikey.com/en/products/detail/yageo/RC1206FR-0710KL/728483</t>
  </si>
  <si>
    <t>0.015 Resistor</t>
  </si>
  <si>
    <t>https://www.digikey.com/en/products/detail/susumu/RL1220T-R015-J/714248</t>
  </si>
  <si>
    <t>PCA PWM Chip</t>
  </si>
  <si>
    <t>https://www.digikey.com/en/products/detail/nxp-usa-inc/PCA9685PW-Q900-118/2406198</t>
  </si>
  <si>
    <t>MCP IO Chip</t>
  </si>
  <si>
    <t>https://www.digikey.com/en/products/detail/microchip-technology/MCP23017-E-SO/894271</t>
  </si>
  <si>
    <t>Connector 6 Pin</t>
  </si>
  <si>
    <t>https://www.digikey.com/en/products/detail/phoenix-contact/1988846/950896</t>
  </si>
  <si>
    <t>Inductor</t>
  </si>
  <si>
    <t>https://www.digikey.com/en/products/detail/tdk-corporation/VLS6045EX-330M/5286699</t>
  </si>
  <si>
    <t>Diode Schottky</t>
  </si>
  <si>
    <t>https://www.digikey.com/en/products/detail/stmicroelectronics/1N5819/1037326</t>
  </si>
  <si>
    <t>2.2uf Cap</t>
  </si>
  <si>
    <t>https://www.digikey.com/en/products/detail/samsung-electro-mechanics/CL21B225KPFNNNE/3886846</t>
  </si>
  <si>
    <t>1uf Cap</t>
  </si>
  <si>
    <t>https://www.digikey.com/en/products/detail/samsung-electro-mechanics/CL21B105KAFNNNE/3886724</t>
  </si>
  <si>
    <t>0.1uf Cap</t>
  </si>
  <si>
    <t>https://www.digikey.com/en/products/detail/samsung-electro-mechanics/CL21B104KBCNNNC/3886661</t>
  </si>
  <si>
    <t>2.2k resistor</t>
  </si>
  <si>
    <t>https://www.digikey.com/en/products/detail/te-connectivity-passive-product/CRGCQ1206F2K2/8576416</t>
  </si>
  <si>
    <t>10uf Cap</t>
  </si>
  <si>
    <t>https://www.digikey.com/en/products/detail/panasonic-electronic-components/ECA-1EM100/245007</t>
  </si>
  <si>
    <t>100uf Cap</t>
  </si>
  <si>
    <t>https://www.digikey.com/en/products/detail/panasonic-electronic-components/ECA-0JM101I/2688620</t>
  </si>
  <si>
    <t>330uf Cap</t>
  </si>
  <si>
    <t>https://www.digikey.com/en/products/detail/chinsan-elite/EK1V331MP51012U/16496951</t>
  </si>
  <si>
    <t>Price per PETG kg:</t>
  </si>
  <si>
    <t>Time</t>
  </si>
  <si>
    <t>grams</t>
  </si>
  <si>
    <t>PPKG</t>
  </si>
  <si>
    <t>Hours</t>
  </si>
  <si>
    <t>Minutes</t>
  </si>
  <si>
    <t>Total Minutes</t>
  </si>
  <si>
    <t>Total Time:</t>
  </si>
  <si>
    <t>Front Face</t>
  </si>
  <si>
    <t>Days:</t>
  </si>
  <si>
    <t>Face Star</t>
  </si>
  <si>
    <t>Front Lens Cover</t>
  </si>
  <si>
    <t>Rear Frame x12</t>
  </si>
  <si>
    <t>Front Frame x24</t>
  </si>
  <si>
    <t>Wire Fixture Top x12</t>
  </si>
  <si>
    <t>Wire Fixture Bot x12</t>
  </si>
  <si>
    <t xml:space="preserve">Frame </t>
  </si>
  <si>
    <t>Mirror Holder</t>
  </si>
  <si>
    <t>Ring Section Single</t>
  </si>
  <si>
    <t>Ring Section Dual</t>
  </si>
  <si>
    <t>Back Face</t>
  </si>
  <si>
    <t>Disc Ring Gear</t>
  </si>
  <si>
    <t>Shim - Ironed</t>
  </si>
  <si>
    <t>Center Cover Bolts</t>
  </si>
  <si>
    <t>Center Cover Threaded</t>
  </si>
  <si>
    <t>Inner Shim</t>
  </si>
  <si>
    <t>Disc Inner Gear</t>
  </si>
  <si>
    <t>Slip Ring Connector</t>
  </si>
  <si>
    <t>Motor Mount Adapter</t>
  </si>
  <si>
    <t>Disc Mount</t>
  </si>
  <si>
    <t>Wire Cap x6</t>
  </si>
  <si>
    <t>Wire Cap Front</t>
  </si>
  <si>
    <t>Counter weight</t>
  </si>
  <si>
    <t>Ring Drive Gear</t>
  </si>
  <si>
    <t>Tilt Cap</t>
  </si>
  <si>
    <t>tilt Motor Mount</t>
  </si>
  <si>
    <t>Motor Mount Offset 1</t>
  </si>
  <si>
    <t>Motor Mount Offset 2</t>
  </si>
  <si>
    <t>Tilt Upright 1 Lower</t>
  </si>
  <si>
    <t>Tilt Upright 1 Upper</t>
  </si>
  <si>
    <t>Tilt Upright 2 Lower</t>
  </si>
  <si>
    <t>Tilt Upright 2 Upper</t>
  </si>
  <si>
    <t>Pipe Cap</t>
  </si>
  <si>
    <t>Tilt Gear 1</t>
  </si>
  <si>
    <t>Tilt Gear 2</t>
  </si>
  <si>
    <t>Pan Gear Mount</t>
  </si>
  <si>
    <t>Pan Gear Idle</t>
  </si>
  <si>
    <t>Pan Center</t>
  </si>
  <si>
    <t>Cable Chain x10</t>
  </si>
  <si>
    <t>Cable Chain Base</t>
  </si>
  <si>
    <t>Pan Base Mount</t>
  </si>
  <si>
    <t>Pan Chain Attach Holes</t>
  </si>
  <si>
    <t>Pan Chain Attach Threaded</t>
  </si>
  <si>
    <t>Power Supply Mount x4</t>
  </si>
  <si>
    <t>PS Cover Upper</t>
  </si>
  <si>
    <t>PS Cover Lower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</si>
</sst>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yageo/RC1206FR-0710KL/728483" TargetMode="External"/><Relationship Id="rId42" Type="http://schemas.openxmlformats.org/officeDocument/2006/relationships/hyperlink" Target="https://www.digikey.com/en/products/detail/nxp-usa-inc/PCA9685PW-Q900-118/2406198" TargetMode="External"/><Relationship Id="rId41" Type="http://schemas.openxmlformats.org/officeDocument/2006/relationships/hyperlink" Target="https://www.digikey.com/en/products/detail/susumu/RL1220T-R015-J/714248" TargetMode="External"/><Relationship Id="rId44" Type="http://schemas.openxmlformats.org/officeDocument/2006/relationships/hyperlink" Target="https://www.digikey.com/en/products/detail/phoenix-contact/1988846/950896" TargetMode="External"/><Relationship Id="rId43" Type="http://schemas.openxmlformats.org/officeDocument/2006/relationships/hyperlink" Target="https://www.digikey.com/en/products/detail/microchip-technology/MCP23017-E-SO/894271" TargetMode="External"/><Relationship Id="rId46" Type="http://schemas.openxmlformats.org/officeDocument/2006/relationships/hyperlink" Target="https://www.digikey.com/en/products/detail/stmicroelectronics/1N5819/1037326" TargetMode="External"/><Relationship Id="rId45" Type="http://schemas.openxmlformats.org/officeDocument/2006/relationships/hyperlink" Target="https://www.digikey.com/en/products/detail/tdk-corporation/VLS6045EX-330M/5286699" TargetMode="External"/><Relationship Id="rId1" Type="http://schemas.openxmlformats.org/officeDocument/2006/relationships/hyperlink" Target="https://www.amazon.com/dp/B0D91GZTSC?ref=ppx_yo2ov_dt_b_fed_asin_title&amp;th=1" TargetMode="External"/><Relationship Id="rId2" Type="http://schemas.openxmlformats.org/officeDocument/2006/relationships/hyperlink" Target="https://www.amazon.com/dp/B08DHS5XVK" TargetMode="External"/><Relationship Id="rId3" Type="http://schemas.openxmlformats.org/officeDocument/2006/relationships/hyperlink" Target="https://www.amazon.com/dp/B07QPNXXBQ" TargetMode="External"/><Relationship Id="rId4" Type="http://schemas.openxmlformats.org/officeDocument/2006/relationships/hyperlink" Target="https://www.amazon.com/dp/B0BR5Q6FN8" TargetMode="External"/><Relationship Id="rId9" Type="http://schemas.openxmlformats.org/officeDocument/2006/relationships/hyperlink" Target="https://www.amazon.com/dp/B08WZFK9KT" TargetMode="External"/><Relationship Id="rId48" Type="http://schemas.openxmlformats.org/officeDocument/2006/relationships/hyperlink" Target="https://www.digikey.com/en/products/detail/samsung-electro-mechanics/CL21B105KAFNNNE/3886724" TargetMode="External"/><Relationship Id="rId47" Type="http://schemas.openxmlformats.org/officeDocument/2006/relationships/hyperlink" Target="https://www.digikey.com/en/products/detail/samsung-electro-mechanics/CL21B225KPFNNNE/3886846" TargetMode="External"/><Relationship Id="rId49" Type="http://schemas.openxmlformats.org/officeDocument/2006/relationships/hyperlink" Target="https://www.digikey.com/en/products/detail/samsung-electro-mechanics/CL21B104KBCNNNC/3886661" TargetMode="External"/><Relationship Id="rId5" Type="http://schemas.openxmlformats.org/officeDocument/2006/relationships/hyperlink" Target="https://www.amazon.com/dp/B07C1G5RKJ" TargetMode="External"/><Relationship Id="rId6" Type="http://schemas.openxmlformats.org/officeDocument/2006/relationships/hyperlink" Target="https://www.amazon.com/dp/B07SMX1DB7" TargetMode="External"/><Relationship Id="rId7" Type="http://schemas.openxmlformats.org/officeDocument/2006/relationships/hyperlink" Target="https://www.amazon.com/dp/B0CKXY1CXG" TargetMode="External"/><Relationship Id="rId8" Type="http://schemas.openxmlformats.org/officeDocument/2006/relationships/hyperlink" Target="https://www.amazon.com/dp/B0DFWG87JS" TargetMode="External"/><Relationship Id="rId31" Type="http://schemas.openxmlformats.org/officeDocument/2006/relationships/hyperlink" Target="https://www.amazon.com/dp/B0DFYL4ZWN" TargetMode="External"/><Relationship Id="rId30" Type="http://schemas.openxmlformats.org/officeDocument/2006/relationships/hyperlink" Target="https://www.amazon.com/dp/B0DJS5RGWF" TargetMode="External"/><Relationship Id="rId33" Type="http://schemas.openxmlformats.org/officeDocument/2006/relationships/hyperlink" Target="https://www.amazon.com/dp/B0D146SHYF" TargetMode="External"/><Relationship Id="rId32" Type="http://schemas.openxmlformats.org/officeDocument/2006/relationships/hyperlink" Target="https://www.amazon.com/dp/B0D83CJF9C" TargetMode="External"/><Relationship Id="rId35" Type="http://schemas.openxmlformats.org/officeDocument/2006/relationships/hyperlink" Target="https://www.amazon.com/dp/B0D5M2LNSG" TargetMode="External"/><Relationship Id="rId34" Type="http://schemas.openxmlformats.org/officeDocument/2006/relationships/hyperlink" Target="https://www.amazon.com/dp/B0F9B1SBCT" TargetMode="External"/><Relationship Id="rId37" Type="http://schemas.openxmlformats.org/officeDocument/2006/relationships/hyperlink" Target="https://www.amazon.com/dp/B00J7W1A6U" TargetMode="External"/><Relationship Id="rId36" Type="http://schemas.openxmlformats.org/officeDocument/2006/relationships/hyperlink" Target="https://www.amazon.com/dp/B00J7W1A6U" TargetMode="External"/><Relationship Id="rId39" Type="http://schemas.openxmlformats.org/officeDocument/2006/relationships/hyperlink" Target="https://www.digikey.com/en/products/detail/diodes-incorporated/AL8860WT-7/6226978" TargetMode="External"/><Relationship Id="rId38" Type="http://schemas.openxmlformats.org/officeDocument/2006/relationships/hyperlink" Target="https://www.digikey.com/en/products/detail/vishay-beyschlag-draloric-bc-components/NTCLE100E3103JB0/769411" TargetMode="External"/><Relationship Id="rId20" Type="http://schemas.openxmlformats.org/officeDocument/2006/relationships/hyperlink" Target="https://www.amazon.com/dp/B0DJQGCS36" TargetMode="External"/><Relationship Id="rId22" Type="http://schemas.openxmlformats.org/officeDocument/2006/relationships/hyperlink" Target="https://www.amazon.com/dp/B0DYS5W46C" TargetMode="External"/><Relationship Id="rId21" Type="http://schemas.openxmlformats.org/officeDocument/2006/relationships/hyperlink" Target="https://www.amazon.com/dp/B0DJQGGDP2" TargetMode="External"/><Relationship Id="rId24" Type="http://schemas.openxmlformats.org/officeDocument/2006/relationships/hyperlink" Target="https://www.amazon.com/dp/B0CTHK3NLP" TargetMode="External"/><Relationship Id="rId23" Type="http://schemas.openxmlformats.org/officeDocument/2006/relationships/hyperlink" Target="https://www.amazon.com/dp/B0DYRZQQZT" TargetMode="External"/><Relationship Id="rId26" Type="http://schemas.openxmlformats.org/officeDocument/2006/relationships/hyperlink" Target="https://www.amazon.com/dp/B0FWCTL3XG" TargetMode="External"/><Relationship Id="rId25" Type="http://schemas.openxmlformats.org/officeDocument/2006/relationships/hyperlink" Target="https://www.amazon.com/dp/B0DYSQZHC9" TargetMode="External"/><Relationship Id="rId28" Type="http://schemas.openxmlformats.org/officeDocument/2006/relationships/hyperlink" Target="https://www.amazon.com/dp/B0FX3Z9DPT" TargetMode="External"/><Relationship Id="rId27" Type="http://schemas.openxmlformats.org/officeDocument/2006/relationships/hyperlink" Target="https://www.amazon.com/dp/B0DYNFH87B" TargetMode="External"/><Relationship Id="rId29" Type="http://schemas.openxmlformats.org/officeDocument/2006/relationships/hyperlink" Target="https://www.amazon.com/dp/B0FX425KPN" TargetMode="External"/><Relationship Id="rId51" Type="http://schemas.openxmlformats.org/officeDocument/2006/relationships/hyperlink" Target="https://www.digikey.com/en/products/detail/panasonic-electronic-components/ECA-1EM100/245007" TargetMode="External"/><Relationship Id="rId50" Type="http://schemas.openxmlformats.org/officeDocument/2006/relationships/hyperlink" Target="https://www.digikey.com/en/products/detail/te-connectivity-passive-product/CRGCQ1206F2K2/8576416" TargetMode="External"/><Relationship Id="rId53" Type="http://schemas.openxmlformats.org/officeDocument/2006/relationships/hyperlink" Target="https://www.digikey.com/en/products/detail/chinsan-elite/EK1V331MP51012U/16496951" TargetMode="External"/><Relationship Id="rId52" Type="http://schemas.openxmlformats.org/officeDocument/2006/relationships/hyperlink" Target="https://www.digikey.com/en/products/detail/panasonic-electronic-components/ECA-0JM101I/2688620" TargetMode="External"/><Relationship Id="rId11" Type="http://schemas.openxmlformats.org/officeDocument/2006/relationships/hyperlink" Target="https://www.amazon.com/dp/B081338TWF" TargetMode="External"/><Relationship Id="rId10" Type="http://schemas.openxmlformats.org/officeDocument/2006/relationships/hyperlink" Target="https://www.amazon.com/dp/B0B38H2ZMR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www.amazon.com/dp/B09PKD8QZZ" TargetMode="External"/><Relationship Id="rId12" Type="http://schemas.openxmlformats.org/officeDocument/2006/relationships/hyperlink" Target="https://www.amazon.com/dp/B0D3LWW86H" TargetMode="External"/><Relationship Id="rId15" Type="http://schemas.openxmlformats.org/officeDocument/2006/relationships/hyperlink" Target="https://www.amazon.com/dp/B0CQVB3CF2" TargetMode="External"/><Relationship Id="rId14" Type="http://schemas.openxmlformats.org/officeDocument/2006/relationships/hyperlink" Target="https://www.amazon.com/dp/B00LPK0E5A" TargetMode="External"/><Relationship Id="rId17" Type="http://schemas.openxmlformats.org/officeDocument/2006/relationships/hyperlink" Target="https://www.amazon.com/dp/B09F6TC7RP" TargetMode="External"/><Relationship Id="rId16" Type="http://schemas.openxmlformats.org/officeDocument/2006/relationships/hyperlink" Target="https://www.amazon.com/dp/B013ETVO12" TargetMode="External"/><Relationship Id="rId19" Type="http://schemas.openxmlformats.org/officeDocument/2006/relationships/hyperlink" Target="https://www.sparkfun.com/ethernet-kit-for-teensy-4-1.html" TargetMode="External"/><Relationship Id="rId18" Type="http://schemas.openxmlformats.org/officeDocument/2006/relationships/hyperlink" Target="https://www.sparkfun.com/teensy-4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12.0</v>
      </c>
      <c r="C2" s="1">
        <v>5.0</v>
      </c>
      <c r="D2" s="1">
        <v>14.69</v>
      </c>
      <c r="E2" s="2">
        <f t="shared" ref="E2:E38" si="1">iferror(D2/C2,0)</f>
        <v>2.938</v>
      </c>
      <c r="F2" s="2">
        <f t="shared" ref="F2:F38" si="2">B2*E2</f>
        <v>35.256</v>
      </c>
      <c r="G2" s="2">
        <f>Sum(F2:F1033)</f>
        <v>735.2235361</v>
      </c>
      <c r="H2" s="3" t="s">
        <v>9</v>
      </c>
    </row>
    <row r="3">
      <c r="A3" s="1" t="s">
        <v>10</v>
      </c>
      <c r="B3" s="1">
        <v>17.0</v>
      </c>
      <c r="C3" s="1">
        <v>8.0</v>
      </c>
      <c r="D3" s="1">
        <v>8.89</v>
      </c>
      <c r="E3" s="2">
        <f t="shared" si="1"/>
        <v>1.11125</v>
      </c>
      <c r="F3" s="2">
        <f t="shared" si="2"/>
        <v>18.89125</v>
      </c>
      <c r="H3" s="4" t="s">
        <v>11</v>
      </c>
    </row>
    <row r="4">
      <c r="A4" s="1" t="s">
        <v>12</v>
      </c>
      <c r="B4" s="1">
        <v>1.0</v>
      </c>
      <c r="C4" s="1">
        <v>1.0</v>
      </c>
      <c r="D4" s="1">
        <v>26.58</v>
      </c>
      <c r="E4" s="2">
        <f t="shared" si="1"/>
        <v>26.58</v>
      </c>
      <c r="F4" s="2">
        <f t="shared" si="2"/>
        <v>26.58</v>
      </c>
      <c r="H4" s="4" t="s">
        <v>13</v>
      </c>
    </row>
    <row r="5">
      <c r="A5" s="1" t="s">
        <v>14</v>
      </c>
      <c r="B5" s="1">
        <v>12.0</v>
      </c>
      <c r="C5" s="1">
        <v>10.0</v>
      </c>
      <c r="D5" s="1">
        <v>8.59</v>
      </c>
      <c r="E5" s="2">
        <f t="shared" si="1"/>
        <v>0.859</v>
      </c>
      <c r="F5" s="2">
        <f t="shared" si="2"/>
        <v>10.308</v>
      </c>
      <c r="H5" s="4" t="s">
        <v>15</v>
      </c>
    </row>
    <row r="6">
      <c r="A6" s="1" t="s">
        <v>16</v>
      </c>
      <c r="B6" s="1">
        <v>24.0</v>
      </c>
      <c r="C6" s="1">
        <v>120.0</v>
      </c>
      <c r="D6" s="1">
        <v>9.99</v>
      </c>
      <c r="E6" s="2">
        <f t="shared" si="1"/>
        <v>0.08325</v>
      </c>
      <c r="F6" s="2">
        <f t="shared" si="2"/>
        <v>1.998</v>
      </c>
      <c r="H6" s="4" t="s">
        <v>17</v>
      </c>
    </row>
    <row r="7">
      <c r="A7" s="1" t="s">
        <v>18</v>
      </c>
      <c r="B7" s="1">
        <v>12.0</v>
      </c>
      <c r="C7" s="1">
        <v>4.0</v>
      </c>
      <c r="D7" s="1">
        <v>8.99</v>
      </c>
      <c r="E7" s="2">
        <f t="shared" si="1"/>
        <v>2.2475</v>
      </c>
      <c r="F7" s="2">
        <f t="shared" si="2"/>
        <v>26.97</v>
      </c>
      <c r="H7" s="4" t="s">
        <v>19</v>
      </c>
    </row>
    <row r="8">
      <c r="A8" s="1" t="s">
        <v>20</v>
      </c>
      <c r="B8" s="1">
        <v>1.0</v>
      </c>
      <c r="C8" s="1">
        <v>1.0</v>
      </c>
      <c r="D8" s="1">
        <v>9.99</v>
      </c>
      <c r="E8" s="2">
        <f t="shared" si="1"/>
        <v>9.99</v>
      </c>
      <c r="F8" s="2">
        <f t="shared" si="2"/>
        <v>9.99</v>
      </c>
      <c r="H8" s="4" t="s">
        <v>21</v>
      </c>
    </row>
    <row r="9">
      <c r="A9" s="1" t="s">
        <v>22</v>
      </c>
      <c r="B9" s="1">
        <v>4.0</v>
      </c>
      <c r="C9" s="1">
        <v>10.0</v>
      </c>
      <c r="D9" s="1">
        <v>29.99</v>
      </c>
      <c r="E9" s="2">
        <f t="shared" si="1"/>
        <v>2.999</v>
      </c>
      <c r="F9" s="2">
        <f t="shared" si="2"/>
        <v>11.996</v>
      </c>
      <c r="H9" s="4" t="s">
        <v>23</v>
      </c>
    </row>
    <row r="10">
      <c r="A10" s="1" t="s">
        <v>24</v>
      </c>
      <c r="B10" s="1">
        <v>3.0</v>
      </c>
      <c r="C10" s="1">
        <v>6.0</v>
      </c>
      <c r="D10" s="1">
        <v>29.99</v>
      </c>
      <c r="E10" s="2">
        <f t="shared" si="1"/>
        <v>4.998333333</v>
      </c>
      <c r="F10" s="2">
        <f t="shared" si="2"/>
        <v>14.995</v>
      </c>
      <c r="H10" s="4" t="s">
        <v>25</v>
      </c>
    </row>
    <row r="11">
      <c r="A11" s="1" t="s">
        <v>26</v>
      </c>
      <c r="B11" s="1">
        <v>3.0</v>
      </c>
      <c r="C11" s="1">
        <v>5.0</v>
      </c>
      <c r="D11" s="1">
        <v>39.95</v>
      </c>
      <c r="E11" s="2">
        <f t="shared" si="1"/>
        <v>7.99</v>
      </c>
      <c r="F11" s="2">
        <f t="shared" si="2"/>
        <v>23.97</v>
      </c>
      <c r="H11" s="4" t="s">
        <v>27</v>
      </c>
    </row>
    <row r="12">
      <c r="A12" s="1" t="s">
        <v>28</v>
      </c>
      <c r="B12" s="1">
        <v>4.0</v>
      </c>
      <c r="C12" s="1">
        <v>4.0</v>
      </c>
      <c r="D12" s="1">
        <v>7.99</v>
      </c>
      <c r="E12" s="2">
        <f t="shared" si="1"/>
        <v>1.9975</v>
      </c>
      <c r="F12" s="2">
        <f t="shared" si="2"/>
        <v>7.99</v>
      </c>
      <c r="H12" s="4" t="s">
        <v>29</v>
      </c>
    </row>
    <row r="13">
      <c r="A13" s="1" t="s">
        <v>30</v>
      </c>
      <c r="B13" s="1">
        <v>12.0</v>
      </c>
      <c r="C13" s="1">
        <v>10.0</v>
      </c>
      <c r="D13" s="1">
        <v>8.99</v>
      </c>
      <c r="E13" s="2">
        <f t="shared" si="1"/>
        <v>0.899</v>
      </c>
      <c r="F13" s="2">
        <f t="shared" si="2"/>
        <v>10.788</v>
      </c>
      <c r="H13" s="4" t="s">
        <v>31</v>
      </c>
    </row>
    <row r="14">
      <c r="A14" s="1" t="s">
        <v>32</v>
      </c>
      <c r="B14" s="1">
        <v>28.0</v>
      </c>
      <c r="C14" s="1">
        <v>20.0</v>
      </c>
      <c r="D14" s="1">
        <v>7.98</v>
      </c>
      <c r="E14" s="2">
        <f t="shared" si="1"/>
        <v>0.399</v>
      </c>
      <c r="F14" s="2">
        <f t="shared" si="2"/>
        <v>11.172</v>
      </c>
      <c r="H14" s="4" t="s">
        <v>33</v>
      </c>
    </row>
    <row r="15">
      <c r="A15" s="1" t="s">
        <v>34</v>
      </c>
      <c r="B15" s="1">
        <v>12.0</v>
      </c>
      <c r="C15" s="1">
        <v>5.0</v>
      </c>
      <c r="D15" s="1">
        <v>14.59</v>
      </c>
      <c r="E15" s="2">
        <f t="shared" si="1"/>
        <v>2.918</v>
      </c>
      <c r="F15" s="2">
        <f t="shared" si="2"/>
        <v>35.016</v>
      </c>
      <c r="H15" s="4" t="s">
        <v>35</v>
      </c>
    </row>
    <row r="16">
      <c r="A16" s="1" t="s">
        <v>36</v>
      </c>
      <c r="B16" s="1">
        <v>1.0</v>
      </c>
      <c r="C16" s="1">
        <v>1.0</v>
      </c>
      <c r="D16" s="1">
        <v>9.98</v>
      </c>
      <c r="E16" s="2">
        <f t="shared" si="1"/>
        <v>9.98</v>
      </c>
      <c r="F16" s="2">
        <f t="shared" si="2"/>
        <v>9.98</v>
      </c>
      <c r="H16" s="4" t="s">
        <v>37</v>
      </c>
    </row>
    <row r="17">
      <c r="A17" s="1" t="s">
        <v>38</v>
      </c>
      <c r="B17" s="1">
        <v>1.0</v>
      </c>
      <c r="C17" s="1">
        <v>1.0</v>
      </c>
      <c r="D17" s="1">
        <v>28.54</v>
      </c>
      <c r="E17" s="2">
        <f t="shared" si="1"/>
        <v>28.54</v>
      </c>
      <c r="F17" s="2">
        <f t="shared" si="2"/>
        <v>28.54</v>
      </c>
      <c r="H17" s="4" t="s">
        <v>39</v>
      </c>
    </row>
    <row r="18">
      <c r="A18" s="1" t="s">
        <v>40</v>
      </c>
      <c r="B18" s="1">
        <v>6.0</v>
      </c>
      <c r="C18" s="1">
        <v>20.0</v>
      </c>
      <c r="D18" s="1">
        <v>14.99</v>
      </c>
      <c r="E18" s="2">
        <f t="shared" si="1"/>
        <v>0.7495</v>
      </c>
      <c r="F18" s="2">
        <f t="shared" si="2"/>
        <v>4.497</v>
      </c>
      <c r="H18" s="4" t="s">
        <v>41</v>
      </c>
    </row>
    <row r="19">
      <c r="A19" s="1" t="s">
        <v>42</v>
      </c>
      <c r="B19" s="1">
        <v>1.0</v>
      </c>
      <c r="C19" s="1">
        <v>1.0</v>
      </c>
      <c r="D19" s="1">
        <v>31.5</v>
      </c>
      <c r="E19" s="2">
        <f t="shared" si="1"/>
        <v>31.5</v>
      </c>
      <c r="F19" s="2">
        <f t="shared" si="2"/>
        <v>31.5</v>
      </c>
      <c r="H19" s="4" t="s">
        <v>43</v>
      </c>
    </row>
    <row r="20">
      <c r="A20" s="1" t="s">
        <v>44</v>
      </c>
      <c r="B20" s="1">
        <v>1.0</v>
      </c>
      <c r="C20" s="1">
        <v>1.0</v>
      </c>
      <c r="D20" s="1">
        <v>9.95</v>
      </c>
      <c r="E20" s="2">
        <f t="shared" si="1"/>
        <v>9.95</v>
      </c>
      <c r="F20" s="2">
        <f t="shared" si="2"/>
        <v>9.95</v>
      </c>
      <c r="H20" s="4" t="s">
        <v>45</v>
      </c>
    </row>
    <row r="21">
      <c r="A21" s="1" t="s">
        <v>46</v>
      </c>
      <c r="B21" s="1">
        <v>32.0</v>
      </c>
      <c r="C21" s="1">
        <v>180.0</v>
      </c>
      <c r="D21" s="1">
        <v>7.99</v>
      </c>
      <c r="E21" s="2">
        <f t="shared" si="1"/>
        <v>0.04438888889</v>
      </c>
      <c r="F21" s="2">
        <f t="shared" si="2"/>
        <v>1.420444444</v>
      </c>
      <c r="H21" s="4" t="s">
        <v>47</v>
      </c>
    </row>
    <row r="22">
      <c r="A22" s="1" t="s">
        <v>48</v>
      </c>
      <c r="B22" s="1">
        <v>271.0</v>
      </c>
      <c r="C22" s="1">
        <v>120.0</v>
      </c>
      <c r="D22" s="1">
        <v>7.99</v>
      </c>
      <c r="E22" s="2">
        <f t="shared" si="1"/>
        <v>0.06658333333</v>
      </c>
      <c r="F22" s="2">
        <f t="shared" si="2"/>
        <v>18.04408333</v>
      </c>
      <c r="H22" s="4" t="s">
        <v>49</v>
      </c>
    </row>
    <row r="23">
      <c r="A23" s="1" t="s">
        <v>50</v>
      </c>
      <c r="B23" s="1">
        <v>35.0</v>
      </c>
      <c r="C23" s="1">
        <v>120.0</v>
      </c>
      <c r="D23" s="1">
        <v>7.99</v>
      </c>
      <c r="E23" s="2">
        <f t="shared" si="1"/>
        <v>0.06658333333</v>
      </c>
      <c r="F23" s="2">
        <f t="shared" si="2"/>
        <v>2.330416667</v>
      </c>
      <c r="H23" s="4" t="s">
        <v>51</v>
      </c>
    </row>
    <row r="24">
      <c r="A24" s="1" t="s">
        <v>52</v>
      </c>
      <c r="B24" s="1">
        <v>126.0</v>
      </c>
      <c r="C24" s="1">
        <v>120.0</v>
      </c>
      <c r="D24" s="1">
        <v>8.49</v>
      </c>
      <c r="E24" s="2">
        <f t="shared" si="1"/>
        <v>0.07075</v>
      </c>
      <c r="F24" s="2">
        <f t="shared" si="2"/>
        <v>8.9145</v>
      </c>
      <c r="H24" s="4" t="s">
        <v>53</v>
      </c>
    </row>
    <row r="25">
      <c r="A25" s="1" t="s">
        <v>54</v>
      </c>
      <c r="B25" s="1">
        <v>16.0</v>
      </c>
      <c r="C25" s="1">
        <v>100.0</v>
      </c>
      <c r="D25" s="1">
        <v>8.28</v>
      </c>
      <c r="E25" s="2">
        <f t="shared" si="1"/>
        <v>0.0828</v>
      </c>
      <c r="F25" s="2">
        <f t="shared" si="2"/>
        <v>1.3248</v>
      </c>
      <c r="H25" s="4" t="s">
        <v>55</v>
      </c>
    </row>
    <row r="26">
      <c r="A26" s="1" t="s">
        <v>56</v>
      </c>
      <c r="B26" s="1">
        <v>28.0</v>
      </c>
      <c r="C26" s="1">
        <v>120.0</v>
      </c>
      <c r="D26" s="1">
        <v>8.99</v>
      </c>
      <c r="E26" s="2">
        <f t="shared" si="1"/>
        <v>0.07491666667</v>
      </c>
      <c r="F26" s="2">
        <f t="shared" si="2"/>
        <v>2.097666667</v>
      </c>
      <c r="H26" s="4" t="s">
        <v>57</v>
      </c>
    </row>
    <row r="27">
      <c r="A27" s="1" t="s">
        <v>58</v>
      </c>
      <c r="B27" s="1">
        <v>16.0</v>
      </c>
      <c r="C27" s="1">
        <v>50.0</v>
      </c>
      <c r="D27" s="1">
        <v>8.59</v>
      </c>
      <c r="E27" s="2">
        <f t="shared" si="1"/>
        <v>0.1718</v>
      </c>
      <c r="F27" s="2">
        <f t="shared" si="2"/>
        <v>2.7488</v>
      </c>
      <c r="H27" s="4" t="s">
        <v>59</v>
      </c>
    </row>
    <row r="28">
      <c r="A28" s="1" t="s">
        <v>60</v>
      </c>
      <c r="B28" s="1">
        <v>2.0</v>
      </c>
      <c r="C28" s="1">
        <v>60.0</v>
      </c>
      <c r="D28" s="1">
        <v>8.49</v>
      </c>
      <c r="E28" s="2">
        <f t="shared" si="1"/>
        <v>0.1415</v>
      </c>
      <c r="F28" s="2">
        <f t="shared" si="2"/>
        <v>0.283</v>
      </c>
      <c r="H28" s="4" t="s">
        <v>61</v>
      </c>
    </row>
    <row r="29">
      <c r="A29" s="1" t="s">
        <v>62</v>
      </c>
      <c r="B29" s="1">
        <v>108.0</v>
      </c>
      <c r="C29" s="1">
        <v>50.0</v>
      </c>
      <c r="D29" s="1">
        <v>8.54</v>
      </c>
      <c r="E29" s="2">
        <f t="shared" si="1"/>
        <v>0.1708</v>
      </c>
      <c r="F29" s="2">
        <f t="shared" si="2"/>
        <v>18.4464</v>
      </c>
      <c r="H29" s="4" t="s">
        <v>63</v>
      </c>
    </row>
    <row r="30">
      <c r="A30" s="1" t="s">
        <v>64</v>
      </c>
      <c r="B30" s="1">
        <v>56.0</v>
      </c>
      <c r="C30" s="1">
        <v>30.0</v>
      </c>
      <c r="D30" s="1">
        <v>8.54</v>
      </c>
      <c r="E30" s="2">
        <f t="shared" si="1"/>
        <v>0.2846666667</v>
      </c>
      <c r="F30" s="2">
        <f t="shared" si="2"/>
        <v>15.94133333</v>
      </c>
      <c r="H30" s="4" t="s">
        <v>65</v>
      </c>
    </row>
    <row r="31">
      <c r="A31" s="1" t="s">
        <v>66</v>
      </c>
      <c r="B31" s="1">
        <v>9.0</v>
      </c>
      <c r="C31" s="1">
        <v>10.0</v>
      </c>
      <c r="D31" s="1">
        <v>8.79</v>
      </c>
      <c r="E31" s="2">
        <f t="shared" si="1"/>
        <v>0.879</v>
      </c>
      <c r="F31" s="2">
        <f t="shared" si="2"/>
        <v>7.911</v>
      </c>
      <c r="H31" s="4" t="s">
        <v>67</v>
      </c>
    </row>
    <row r="32">
      <c r="A32" s="1" t="s">
        <v>68</v>
      </c>
      <c r="B32" s="1">
        <v>18.0</v>
      </c>
      <c r="C32" s="1">
        <v>12.0</v>
      </c>
      <c r="D32" s="1">
        <v>12.19</v>
      </c>
      <c r="E32" s="2">
        <f t="shared" si="1"/>
        <v>1.015833333</v>
      </c>
      <c r="F32" s="2">
        <f t="shared" si="2"/>
        <v>18.285</v>
      </c>
      <c r="H32" s="4" t="s">
        <v>69</v>
      </c>
    </row>
    <row r="33">
      <c r="A33" s="1" t="s">
        <v>70</v>
      </c>
      <c r="B33" s="1">
        <v>19.0</v>
      </c>
      <c r="C33" s="1">
        <v>6.0</v>
      </c>
      <c r="D33" s="1">
        <v>9.99</v>
      </c>
      <c r="E33" s="2">
        <f t="shared" si="1"/>
        <v>1.665</v>
      </c>
      <c r="F33" s="2">
        <f t="shared" si="2"/>
        <v>31.635</v>
      </c>
      <c r="H33" s="4" t="s">
        <v>71</v>
      </c>
    </row>
    <row r="34">
      <c r="A34" s="1" t="s">
        <v>72</v>
      </c>
      <c r="B34" s="1">
        <v>7.0</v>
      </c>
      <c r="C34" s="1">
        <v>120.0</v>
      </c>
      <c r="D34" s="1">
        <v>5.99</v>
      </c>
      <c r="E34" s="2">
        <f t="shared" si="1"/>
        <v>0.04991666667</v>
      </c>
      <c r="F34" s="2">
        <f t="shared" si="2"/>
        <v>0.3494166667</v>
      </c>
      <c r="H34" s="4" t="s">
        <v>73</v>
      </c>
    </row>
    <row r="35">
      <c r="A35" s="1" t="s">
        <v>74</v>
      </c>
      <c r="B35" s="1">
        <v>1.0</v>
      </c>
      <c r="C35" s="1">
        <v>2.0</v>
      </c>
      <c r="D35" s="1">
        <v>9.99</v>
      </c>
      <c r="E35" s="2">
        <f t="shared" si="1"/>
        <v>4.995</v>
      </c>
      <c r="F35" s="2">
        <f t="shared" si="2"/>
        <v>4.995</v>
      </c>
      <c r="H35" s="4" t="s">
        <v>75</v>
      </c>
    </row>
    <row r="36">
      <c r="A36" s="1" t="s">
        <v>76</v>
      </c>
      <c r="B36" s="1">
        <v>5.0</v>
      </c>
      <c r="C36" s="1">
        <v>20.0</v>
      </c>
      <c r="D36" s="1">
        <v>21.99</v>
      </c>
      <c r="E36" s="2">
        <f t="shared" si="1"/>
        <v>1.0995</v>
      </c>
      <c r="F36" s="2">
        <f t="shared" si="2"/>
        <v>5.4975</v>
      </c>
      <c r="H36" s="4" t="s">
        <v>77</v>
      </c>
    </row>
    <row r="37">
      <c r="A37" s="1" t="s">
        <v>78</v>
      </c>
      <c r="B37" s="1">
        <v>2.0</v>
      </c>
      <c r="C37" s="1">
        <v>1.0</v>
      </c>
      <c r="D37" s="1">
        <v>15.47</v>
      </c>
      <c r="E37" s="2">
        <f t="shared" si="1"/>
        <v>15.47</v>
      </c>
      <c r="F37" s="2">
        <f t="shared" si="2"/>
        <v>30.94</v>
      </c>
      <c r="H37" s="4" t="s">
        <v>79</v>
      </c>
    </row>
    <row r="38">
      <c r="A38" s="1" t="s">
        <v>80</v>
      </c>
      <c r="B38" s="1">
        <v>5.0</v>
      </c>
      <c r="C38" s="1">
        <v>1.0</v>
      </c>
      <c r="D38" s="1">
        <v>15.47</v>
      </c>
      <c r="E38" s="2">
        <f t="shared" si="1"/>
        <v>15.47</v>
      </c>
      <c r="F38" s="2">
        <f t="shared" si="2"/>
        <v>77.35</v>
      </c>
      <c r="H38" s="4" t="s">
        <v>79</v>
      </c>
    </row>
    <row r="39">
      <c r="A39" s="1"/>
      <c r="B39" s="1"/>
      <c r="C39" s="1"/>
      <c r="D39" s="1"/>
    </row>
    <row r="40">
      <c r="A40" s="1" t="s">
        <v>81</v>
      </c>
      <c r="B40" s="1">
        <v>4.0</v>
      </c>
      <c r="C40" s="1">
        <v>10.0</v>
      </c>
      <c r="D40" s="1">
        <v>80.0</v>
      </c>
      <c r="E40" s="2">
        <f t="shared" ref="E40:E56" si="3">iferror(D40/C40,0)</f>
        <v>8</v>
      </c>
      <c r="F40" s="2">
        <f t="shared" ref="F40:F56" si="4">B40*E40</f>
        <v>32</v>
      </c>
    </row>
    <row r="41">
      <c r="A41" s="1" t="s">
        <v>82</v>
      </c>
      <c r="B41" s="1">
        <v>12.0</v>
      </c>
      <c r="C41" s="1">
        <v>1.0</v>
      </c>
      <c r="D41" s="1">
        <v>0.474</v>
      </c>
      <c r="E41" s="2">
        <f t="shared" si="3"/>
        <v>0.474</v>
      </c>
      <c r="F41" s="2">
        <f t="shared" si="4"/>
        <v>5.688</v>
      </c>
      <c r="H41" s="4" t="s">
        <v>83</v>
      </c>
    </row>
    <row r="42">
      <c r="A42" s="1" t="s">
        <v>84</v>
      </c>
      <c r="B42" s="1">
        <v>48.0</v>
      </c>
      <c r="C42" s="1">
        <v>1.0</v>
      </c>
      <c r="D42" s="1">
        <v>0.3624</v>
      </c>
      <c r="E42" s="2">
        <f t="shared" si="3"/>
        <v>0.3624</v>
      </c>
      <c r="F42" s="2">
        <f t="shared" si="4"/>
        <v>17.3952</v>
      </c>
      <c r="H42" s="4" t="s">
        <v>85</v>
      </c>
    </row>
    <row r="43">
      <c r="A43" s="1" t="s">
        <v>86</v>
      </c>
      <c r="B43" s="1">
        <v>66.0</v>
      </c>
      <c r="C43" s="1">
        <v>1.0</v>
      </c>
      <c r="D43" s="1">
        <v>0.0112</v>
      </c>
      <c r="E43" s="2">
        <f t="shared" si="3"/>
        <v>0.0112</v>
      </c>
      <c r="F43" s="2">
        <f t="shared" si="4"/>
        <v>0.7392</v>
      </c>
      <c r="H43" s="4" t="s">
        <v>87</v>
      </c>
    </row>
    <row r="44">
      <c r="A44" s="1" t="s">
        <v>88</v>
      </c>
      <c r="B44" s="1">
        <v>50.0</v>
      </c>
      <c r="C44" s="1">
        <v>1.0</v>
      </c>
      <c r="D44" s="1">
        <v>0.098</v>
      </c>
      <c r="E44" s="2">
        <f t="shared" si="3"/>
        <v>0.098</v>
      </c>
      <c r="F44" s="2">
        <f t="shared" si="4"/>
        <v>4.9</v>
      </c>
      <c r="H44" s="4" t="s">
        <v>89</v>
      </c>
    </row>
    <row r="45">
      <c r="A45" s="1" t="s">
        <v>90</v>
      </c>
      <c r="B45" s="1">
        <v>4.0</v>
      </c>
      <c r="C45" s="1">
        <v>1.0</v>
      </c>
      <c r="D45" s="1">
        <v>3.03</v>
      </c>
      <c r="E45" s="2">
        <f t="shared" si="3"/>
        <v>3.03</v>
      </c>
      <c r="F45" s="2">
        <f t="shared" si="4"/>
        <v>12.12</v>
      </c>
      <c r="H45" s="4" t="s">
        <v>91</v>
      </c>
    </row>
    <row r="46">
      <c r="A46" s="1" t="s">
        <v>92</v>
      </c>
      <c r="B46" s="1">
        <v>4.0</v>
      </c>
      <c r="C46" s="1">
        <v>1.0</v>
      </c>
      <c r="D46" s="1">
        <v>1.62</v>
      </c>
      <c r="E46" s="2">
        <f t="shared" si="3"/>
        <v>1.62</v>
      </c>
      <c r="F46" s="2">
        <f t="shared" si="4"/>
        <v>6.48</v>
      </c>
      <c r="H46" s="4" t="s">
        <v>93</v>
      </c>
    </row>
    <row r="47">
      <c r="A47" s="1" t="s">
        <v>94</v>
      </c>
      <c r="B47" s="1">
        <v>5.0</v>
      </c>
      <c r="C47" s="1">
        <v>1.0</v>
      </c>
      <c r="D47" s="1">
        <v>1.88</v>
      </c>
      <c r="E47" s="2">
        <f t="shared" si="3"/>
        <v>1.88</v>
      </c>
      <c r="F47" s="2">
        <f t="shared" si="4"/>
        <v>9.4</v>
      </c>
      <c r="H47" s="4" t="s">
        <v>95</v>
      </c>
    </row>
    <row r="48">
      <c r="A48" s="1" t="s">
        <v>96</v>
      </c>
      <c r="B48" s="1">
        <v>48.0</v>
      </c>
      <c r="C48" s="1">
        <v>1.0</v>
      </c>
      <c r="D48" s="1">
        <v>0.28</v>
      </c>
      <c r="E48" s="2">
        <f t="shared" si="3"/>
        <v>0.28</v>
      </c>
      <c r="F48" s="2">
        <f t="shared" si="4"/>
        <v>13.44</v>
      </c>
      <c r="H48" s="4" t="s">
        <v>97</v>
      </c>
    </row>
    <row r="49">
      <c r="A49" s="1" t="s">
        <v>98</v>
      </c>
      <c r="B49" s="1">
        <v>60.0</v>
      </c>
      <c r="C49" s="1">
        <v>1.0</v>
      </c>
      <c r="D49" s="1">
        <v>0.207</v>
      </c>
      <c r="E49" s="2">
        <f t="shared" si="3"/>
        <v>0.207</v>
      </c>
      <c r="F49" s="2">
        <f t="shared" si="4"/>
        <v>12.42</v>
      </c>
      <c r="H49" s="4" t="s">
        <v>99</v>
      </c>
    </row>
    <row r="50">
      <c r="A50" s="1" t="s">
        <v>100</v>
      </c>
      <c r="B50" s="1">
        <v>50.0</v>
      </c>
      <c r="C50" s="1">
        <v>1.0</v>
      </c>
      <c r="D50" s="1">
        <v>0.0396</v>
      </c>
      <c r="E50" s="2">
        <f t="shared" si="3"/>
        <v>0.0396</v>
      </c>
      <c r="F50" s="2">
        <f t="shared" si="4"/>
        <v>1.98</v>
      </c>
      <c r="H50" s="4" t="s">
        <v>101</v>
      </c>
    </row>
    <row r="51">
      <c r="A51" s="1" t="s">
        <v>102</v>
      </c>
      <c r="B51" s="1">
        <v>50.0</v>
      </c>
      <c r="C51" s="1">
        <v>1.0</v>
      </c>
      <c r="D51" s="1">
        <v>0.009</v>
      </c>
      <c r="E51" s="2">
        <f t="shared" si="3"/>
        <v>0.009</v>
      </c>
      <c r="F51" s="2">
        <f t="shared" si="4"/>
        <v>0.45</v>
      </c>
      <c r="H51" s="4" t="s">
        <v>103</v>
      </c>
    </row>
    <row r="52">
      <c r="A52" s="1" t="s">
        <v>104</v>
      </c>
      <c r="B52" s="1">
        <v>10.0</v>
      </c>
      <c r="C52" s="1">
        <v>1.0</v>
      </c>
      <c r="D52" s="1">
        <v>0.006</v>
      </c>
      <c r="E52" s="2">
        <f t="shared" si="3"/>
        <v>0.006</v>
      </c>
      <c r="F52" s="2">
        <f t="shared" si="4"/>
        <v>0.06</v>
      </c>
      <c r="H52" s="3" t="s">
        <v>105</v>
      </c>
    </row>
    <row r="53">
      <c r="A53" s="1" t="s">
        <v>106</v>
      </c>
      <c r="B53" s="1">
        <v>10.0</v>
      </c>
      <c r="C53" s="1">
        <v>1.0</v>
      </c>
      <c r="D53" s="1">
        <v>0.047</v>
      </c>
      <c r="E53" s="2">
        <f t="shared" si="3"/>
        <v>0.047</v>
      </c>
      <c r="F53" s="2">
        <f t="shared" si="4"/>
        <v>0.47</v>
      </c>
      <c r="H53" s="4" t="s">
        <v>107</v>
      </c>
    </row>
    <row r="54">
      <c r="A54" s="1" t="s">
        <v>108</v>
      </c>
      <c r="B54" s="1">
        <v>5.0</v>
      </c>
      <c r="C54" s="1">
        <v>1.0</v>
      </c>
      <c r="D54" s="1">
        <v>0.137</v>
      </c>
      <c r="E54" s="2">
        <f t="shared" si="3"/>
        <v>0.137</v>
      </c>
      <c r="F54" s="2">
        <f t="shared" si="4"/>
        <v>0.685</v>
      </c>
      <c r="H54" s="4" t="s">
        <v>109</v>
      </c>
    </row>
    <row r="55">
      <c r="A55" s="1" t="s">
        <v>110</v>
      </c>
      <c r="B55" s="1">
        <v>17.0</v>
      </c>
      <c r="C55" s="1">
        <v>1.0</v>
      </c>
      <c r="D55" s="1">
        <v>0.134</v>
      </c>
      <c r="E55" s="2">
        <f t="shared" si="3"/>
        <v>0.134</v>
      </c>
      <c r="F55" s="2">
        <f t="shared" si="4"/>
        <v>2.278</v>
      </c>
      <c r="H55" s="4" t="s">
        <v>111</v>
      </c>
    </row>
    <row r="56">
      <c r="A56" s="1" t="s">
        <v>112</v>
      </c>
      <c r="B56" s="1">
        <v>4.0</v>
      </c>
      <c r="C56" s="1">
        <v>1.0</v>
      </c>
      <c r="D56" s="1">
        <v>0.29</v>
      </c>
      <c r="E56" s="2">
        <f t="shared" si="3"/>
        <v>0.29</v>
      </c>
      <c r="F56" s="2">
        <f t="shared" si="4"/>
        <v>1.16</v>
      </c>
      <c r="H56" s="4" t="s">
        <v>113</v>
      </c>
    </row>
    <row r="58">
      <c r="A58" s="1" t="s">
        <v>114</v>
      </c>
      <c r="B58" s="1">
        <v>13.5</v>
      </c>
      <c r="C58" s="1"/>
      <c r="D58" s="1"/>
    </row>
    <row r="59">
      <c r="A59" s="1"/>
      <c r="B59" s="1"/>
      <c r="C59" s="1"/>
      <c r="D59" s="1"/>
      <c r="H59" s="1" t="s">
        <v>115</v>
      </c>
    </row>
    <row r="60">
      <c r="A60" s="1"/>
      <c r="B60" s="1" t="s">
        <v>1</v>
      </c>
      <c r="C60" s="1" t="s">
        <v>116</v>
      </c>
      <c r="D60" s="1" t="s">
        <v>117</v>
      </c>
      <c r="H60" s="1" t="s">
        <v>118</v>
      </c>
      <c r="I60" s="1" t="s">
        <v>119</v>
      </c>
      <c r="J60" s="1" t="s">
        <v>120</v>
      </c>
      <c r="K60" s="1" t="s">
        <v>121</v>
      </c>
      <c r="L60" s="2">
        <f>Sum(J61:J1033)</f>
        <v>13066</v>
      </c>
    </row>
    <row r="61">
      <c r="A61" s="1" t="s">
        <v>122</v>
      </c>
      <c r="B61" s="1">
        <v>4.0</v>
      </c>
      <c r="C61" s="1">
        <v>40.16</v>
      </c>
      <c r="D61" s="1">
        <f t="shared" ref="D61:D117" si="5">$B$58</f>
        <v>13.5</v>
      </c>
      <c r="E61" s="2">
        <f t="shared" ref="E61:E117" si="6">iferror(D61*(C61/1000),0)</f>
        <v>0.54216</v>
      </c>
      <c r="F61" s="2">
        <f t="shared" ref="F61:F117" si="7">B61*E61</f>
        <v>2.16864</v>
      </c>
      <c r="H61" s="1">
        <v>3.0</v>
      </c>
      <c r="I61" s="1">
        <v>24.0</v>
      </c>
      <c r="J61" s="2">
        <f t="shared" ref="J61:J117" si="8">((H61*60)+I61)*B61</f>
        <v>816</v>
      </c>
      <c r="K61" s="1" t="s">
        <v>118</v>
      </c>
      <c r="L61" s="2">
        <f>floor(L60/60,1)</f>
        <v>217</v>
      </c>
      <c r="M61" s="1" t="s">
        <v>123</v>
      </c>
      <c r="N61" s="2">
        <f>L61/24</f>
        <v>9.041666667</v>
      </c>
    </row>
    <row r="62">
      <c r="A62" s="1" t="s">
        <v>124</v>
      </c>
      <c r="B62" s="1">
        <v>1.0</v>
      </c>
      <c r="C62" s="1">
        <v>10.8</v>
      </c>
      <c r="D62" s="1">
        <f t="shared" si="5"/>
        <v>13.5</v>
      </c>
      <c r="E62" s="2">
        <f t="shared" si="6"/>
        <v>0.1458</v>
      </c>
      <c r="F62" s="2">
        <f t="shared" si="7"/>
        <v>0.1458</v>
      </c>
      <c r="I62" s="1">
        <v>57.0</v>
      </c>
      <c r="J62" s="2">
        <f t="shared" si="8"/>
        <v>57</v>
      </c>
      <c r="K62" s="1" t="s">
        <v>119</v>
      </c>
      <c r="L62" s="2">
        <f>Mod(L60, 60)</f>
        <v>46</v>
      </c>
    </row>
    <row r="63">
      <c r="A63" s="1" t="s">
        <v>125</v>
      </c>
      <c r="B63" s="1">
        <v>12.0</v>
      </c>
      <c r="C63" s="1">
        <v>6.79</v>
      </c>
      <c r="D63" s="1">
        <f t="shared" si="5"/>
        <v>13.5</v>
      </c>
      <c r="E63" s="2">
        <f t="shared" si="6"/>
        <v>0.091665</v>
      </c>
      <c r="F63" s="2">
        <f t="shared" si="7"/>
        <v>1.09998</v>
      </c>
      <c r="I63" s="1">
        <v>40.0</v>
      </c>
      <c r="J63" s="2">
        <f t="shared" si="8"/>
        <v>480</v>
      </c>
    </row>
    <row r="64">
      <c r="A64" s="1" t="s">
        <v>126</v>
      </c>
      <c r="B64" s="1">
        <v>1.0</v>
      </c>
      <c r="C64" s="1">
        <v>12.97</v>
      </c>
      <c r="D64" s="1">
        <f t="shared" si="5"/>
        <v>13.5</v>
      </c>
      <c r="E64" s="2">
        <f t="shared" si="6"/>
        <v>0.175095</v>
      </c>
      <c r="F64" s="2">
        <f t="shared" si="7"/>
        <v>0.175095</v>
      </c>
      <c r="H64" s="1">
        <v>1.0</v>
      </c>
      <c r="I64" s="1">
        <v>26.0</v>
      </c>
      <c r="J64" s="2">
        <f t="shared" si="8"/>
        <v>86</v>
      </c>
    </row>
    <row r="65">
      <c r="A65" s="1" t="s">
        <v>127</v>
      </c>
      <c r="B65" s="1">
        <v>1.0</v>
      </c>
      <c r="C65" s="1">
        <v>18.11</v>
      </c>
      <c r="D65" s="1">
        <f t="shared" si="5"/>
        <v>13.5</v>
      </c>
      <c r="E65" s="2">
        <f t="shared" si="6"/>
        <v>0.244485</v>
      </c>
      <c r="F65" s="2">
        <f t="shared" si="7"/>
        <v>0.244485</v>
      </c>
      <c r="H65" s="1">
        <v>2.0</v>
      </c>
      <c r="I65" s="1">
        <v>3.0</v>
      </c>
      <c r="J65" s="2">
        <f t="shared" si="8"/>
        <v>123</v>
      </c>
    </row>
    <row r="66">
      <c r="A66" s="1" t="s">
        <v>128</v>
      </c>
      <c r="B66" s="1">
        <v>1.0</v>
      </c>
      <c r="C66" s="1">
        <v>12.55</v>
      </c>
      <c r="D66" s="1">
        <f t="shared" si="5"/>
        <v>13.5</v>
      </c>
      <c r="E66" s="2">
        <f t="shared" si="6"/>
        <v>0.169425</v>
      </c>
      <c r="F66" s="2">
        <f t="shared" si="7"/>
        <v>0.169425</v>
      </c>
      <c r="H66" s="1">
        <v>1.0</v>
      </c>
      <c r="I66" s="1">
        <v>33.0</v>
      </c>
      <c r="J66" s="2">
        <f t="shared" si="8"/>
        <v>93</v>
      </c>
    </row>
    <row r="67">
      <c r="A67" s="1" t="s">
        <v>129</v>
      </c>
      <c r="B67" s="1">
        <v>1.0</v>
      </c>
      <c r="C67" s="1">
        <v>6.27</v>
      </c>
      <c r="D67" s="1">
        <f t="shared" si="5"/>
        <v>13.5</v>
      </c>
      <c r="E67" s="2">
        <f t="shared" si="6"/>
        <v>0.084645</v>
      </c>
      <c r="F67" s="2">
        <f t="shared" si="7"/>
        <v>0.084645</v>
      </c>
      <c r="I67" s="1">
        <v>50.0</v>
      </c>
      <c r="J67" s="2">
        <f t="shared" si="8"/>
        <v>50</v>
      </c>
    </row>
    <row r="68">
      <c r="A68" s="1" t="s">
        <v>130</v>
      </c>
      <c r="B68" s="1">
        <v>12.0</v>
      </c>
      <c r="C68" s="1">
        <v>20.55</v>
      </c>
      <c r="D68" s="1">
        <f t="shared" si="5"/>
        <v>13.5</v>
      </c>
      <c r="E68" s="2">
        <f t="shared" si="6"/>
        <v>0.277425</v>
      </c>
      <c r="F68" s="2">
        <f t="shared" si="7"/>
        <v>3.3291</v>
      </c>
      <c r="H68" s="1">
        <v>1.0</v>
      </c>
      <c r="I68" s="1">
        <v>54.0</v>
      </c>
      <c r="J68" s="2">
        <f t="shared" si="8"/>
        <v>1368</v>
      </c>
    </row>
    <row r="69">
      <c r="A69" s="1" t="s">
        <v>131</v>
      </c>
      <c r="B69" s="1">
        <v>12.0</v>
      </c>
      <c r="C69" s="1">
        <v>13.06</v>
      </c>
      <c r="D69" s="1">
        <f t="shared" si="5"/>
        <v>13.5</v>
      </c>
      <c r="E69" s="2">
        <f t="shared" si="6"/>
        <v>0.17631</v>
      </c>
      <c r="F69" s="2">
        <f t="shared" si="7"/>
        <v>2.11572</v>
      </c>
      <c r="H69" s="1">
        <v>1.0</v>
      </c>
      <c r="I69" s="1">
        <v>9.0</v>
      </c>
      <c r="J69" s="2">
        <f t="shared" si="8"/>
        <v>828</v>
      </c>
    </row>
    <row r="70">
      <c r="A70" s="1" t="s">
        <v>132</v>
      </c>
      <c r="B70" s="1">
        <v>4.0</v>
      </c>
      <c r="C70" s="1">
        <v>12.9</v>
      </c>
      <c r="D70" s="1">
        <f t="shared" si="5"/>
        <v>13.5</v>
      </c>
      <c r="E70" s="2">
        <f t="shared" si="6"/>
        <v>0.17415</v>
      </c>
      <c r="F70" s="2">
        <f t="shared" si="7"/>
        <v>0.6966</v>
      </c>
      <c r="H70" s="1">
        <v>1.0</v>
      </c>
      <c r="I70" s="1">
        <v>15.0</v>
      </c>
      <c r="J70" s="2">
        <f t="shared" si="8"/>
        <v>300</v>
      </c>
    </row>
    <row r="71">
      <c r="A71" s="1" t="s">
        <v>133</v>
      </c>
      <c r="B71" s="1">
        <v>4.0</v>
      </c>
      <c r="C71" s="1">
        <v>34.34</v>
      </c>
      <c r="D71" s="1">
        <f t="shared" si="5"/>
        <v>13.5</v>
      </c>
      <c r="E71" s="2">
        <f t="shared" si="6"/>
        <v>0.46359</v>
      </c>
      <c r="F71" s="2">
        <f t="shared" si="7"/>
        <v>1.85436</v>
      </c>
      <c r="H71" s="1">
        <v>3.0</v>
      </c>
      <c r="I71" s="1">
        <v>16.0</v>
      </c>
      <c r="J71" s="2">
        <f t="shared" si="8"/>
        <v>784</v>
      </c>
    </row>
    <row r="72">
      <c r="A72" s="1" t="s">
        <v>134</v>
      </c>
      <c r="B72" s="1">
        <v>4.0</v>
      </c>
      <c r="C72" s="1">
        <v>46.78</v>
      </c>
      <c r="D72" s="1">
        <f t="shared" si="5"/>
        <v>13.5</v>
      </c>
      <c r="E72" s="2">
        <f t="shared" si="6"/>
        <v>0.63153</v>
      </c>
      <c r="F72" s="2">
        <f t="shared" si="7"/>
        <v>2.52612</v>
      </c>
      <c r="H72" s="1">
        <v>4.0</v>
      </c>
      <c r="I72" s="1">
        <v>3.0</v>
      </c>
      <c r="J72" s="2">
        <f t="shared" si="8"/>
        <v>972</v>
      </c>
    </row>
    <row r="73">
      <c r="A73" s="1" t="s">
        <v>135</v>
      </c>
      <c r="B73" s="1">
        <v>4.0</v>
      </c>
      <c r="C73" s="1">
        <v>10.59</v>
      </c>
      <c r="D73" s="1">
        <f t="shared" si="5"/>
        <v>13.5</v>
      </c>
      <c r="E73" s="2">
        <f t="shared" si="6"/>
        <v>0.142965</v>
      </c>
      <c r="F73" s="2">
        <f t="shared" si="7"/>
        <v>0.57186</v>
      </c>
      <c r="H73" s="1">
        <v>1.0</v>
      </c>
      <c r="I73" s="1">
        <v>1.0</v>
      </c>
      <c r="J73" s="2">
        <f t="shared" si="8"/>
        <v>244</v>
      </c>
    </row>
    <row r="74">
      <c r="A74" s="1" t="s">
        <v>136</v>
      </c>
      <c r="B74" s="1">
        <v>2.0</v>
      </c>
      <c r="C74" s="1">
        <v>3.91</v>
      </c>
      <c r="D74" s="1">
        <f t="shared" si="5"/>
        <v>13.5</v>
      </c>
      <c r="E74" s="2">
        <f t="shared" si="6"/>
        <v>0.052785</v>
      </c>
      <c r="F74" s="2">
        <f t="shared" si="7"/>
        <v>0.10557</v>
      </c>
      <c r="H74" s="1">
        <v>1.0</v>
      </c>
      <c r="I74" s="1">
        <v>0.0</v>
      </c>
      <c r="J74" s="2">
        <f t="shared" si="8"/>
        <v>120</v>
      </c>
    </row>
    <row r="75">
      <c r="A75" s="1" t="s">
        <v>137</v>
      </c>
      <c r="B75" s="1">
        <v>1.0</v>
      </c>
      <c r="C75" s="1">
        <v>77.91</v>
      </c>
      <c r="D75" s="1">
        <f t="shared" si="5"/>
        <v>13.5</v>
      </c>
      <c r="E75" s="2">
        <f t="shared" si="6"/>
        <v>1.051785</v>
      </c>
      <c r="F75" s="2">
        <f t="shared" si="7"/>
        <v>1.051785</v>
      </c>
      <c r="H75" s="1">
        <v>6.0</v>
      </c>
      <c r="I75" s="1">
        <v>15.0</v>
      </c>
      <c r="J75" s="2">
        <f t="shared" si="8"/>
        <v>375</v>
      </c>
    </row>
    <row r="76">
      <c r="A76" s="1" t="s">
        <v>138</v>
      </c>
      <c r="B76" s="1">
        <v>1.0</v>
      </c>
      <c r="C76" s="1">
        <v>78.39</v>
      </c>
      <c r="D76" s="1">
        <f t="shared" si="5"/>
        <v>13.5</v>
      </c>
      <c r="E76" s="2">
        <f t="shared" si="6"/>
        <v>1.058265</v>
      </c>
      <c r="F76" s="2">
        <f t="shared" si="7"/>
        <v>1.058265</v>
      </c>
      <c r="H76" s="1">
        <v>6.0</v>
      </c>
      <c r="I76" s="1">
        <v>5.0</v>
      </c>
      <c r="J76" s="2">
        <f t="shared" si="8"/>
        <v>365</v>
      </c>
    </row>
    <row r="77">
      <c r="A77" s="1" t="s">
        <v>139</v>
      </c>
      <c r="B77" s="1">
        <v>1.0</v>
      </c>
      <c r="C77" s="1">
        <v>0.5</v>
      </c>
      <c r="D77" s="1">
        <f t="shared" si="5"/>
        <v>13.5</v>
      </c>
      <c r="E77" s="2">
        <f t="shared" si="6"/>
        <v>0.00675</v>
      </c>
      <c r="F77" s="2">
        <f t="shared" si="7"/>
        <v>0.00675</v>
      </c>
      <c r="H77" s="1">
        <v>0.0</v>
      </c>
      <c r="I77" s="1">
        <v>4.0</v>
      </c>
      <c r="J77" s="2">
        <f t="shared" si="8"/>
        <v>4</v>
      </c>
    </row>
    <row r="78">
      <c r="A78" s="1" t="s">
        <v>140</v>
      </c>
      <c r="B78" s="1">
        <v>1.0</v>
      </c>
      <c r="C78" s="1">
        <v>11.17</v>
      </c>
      <c r="D78" s="1">
        <f t="shared" si="5"/>
        <v>13.5</v>
      </c>
      <c r="E78" s="2">
        <f t="shared" si="6"/>
        <v>0.150795</v>
      </c>
      <c r="F78" s="2">
        <f t="shared" si="7"/>
        <v>0.150795</v>
      </c>
      <c r="H78" s="1">
        <v>0.0</v>
      </c>
      <c r="I78" s="1">
        <v>59.0</v>
      </c>
      <c r="J78" s="2">
        <f t="shared" si="8"/>
        <v>59</v>
      </c>
    </row>
    <row r="79">
      <c r="A79" s="1" t="s">
        <v>141</v>
      </c>
      <c r="B79" s="1">
        <v>1.0</v>
      </c>
      <c r="C79" s="1">
        <v>10.5</v>
      </c>
      <c r="D79" s="1">
        <f t="shared" si="5"/>
        <v>13.5</v>
      </c>
      <c r="E79" s="2">
        <f t="shared" si="6"/>
        <v>0.14175</v>
      </c>
      <c r="F79" s="2">
        <f t="shared" si="7"/>
        <v>0.14175</v>
      </c>
      <c r="H79" s="1">
        <v>0.0</v>
      </c>
      <c r="I79" s="1">
        <v>54.0</v>
      </c>
      <c r="J79" s="2">
        <f t="shared" si="8"/>
        <v>54</v>
      </c>
    </row>
    <row r="80">
      <c r="A80" s="1" t="s">
        <v>142</v>
      </c>
      <c r="B80" s="1">
        <v>1.0</v>
      </c>
      <c r="C80" s="1">
        <v>22.36</v>
      </c>
      <c r="D80" s="1">
        <f t="shared" si="5"/>
        <v>13.5</v>
      </c>
      <c r="E80" s="2">
        <f t="shared" si="6"/>
        <v>0.30186</v>
      </c>
      <c r="F80" s="2">
        <f t="shared" si="7"/>
        <v>0.30186</v>
      </c>
      <c r="H80" s="1">
        <v>1.0</v>
      </c>
      <c r="I80" s="1">
        <v>47.0</v>
      </c>
      <c r="J80" s="2">
        <f t="shared" si="8"/>
        <v>107</v>
      </c>
    </row>
    <row r="81">
      <c r="A81" s="1" t="s">
        <v>143</v>
      </c>
      <c r="B81" s="1">
        <v>1.0</v>
      </c>
      <c r="C81" s="1">
        <v>24.99</v>
      </c>
      <c r="D81" s="1">
        <f t="shared" si="5"/>
        <v>13.5</v>
      </c>
      <c r="E81" s="2">
        <f t="shared" si="6"/>
        <v>0.337365</v>
      </c>
      <c r="F81" s="2">
        <f t="shared" si="7"/>
        <v>0.337365</v>
      </c>
      <c r="H81" s="1">
        <v>2.0</v>
      </c>
      <c r="I81" s="1">
        <v>12.0</v>
      </c>
      <c r="J81" s="2">
        <f t="shared" si="8"/>
        <v>132</v>
      </c>
    </row>
    <row r="82">
      <c r="A82" s="1" t="s">
        <v>144</v>
      </c>
      <c r="B82" s="1">
        <v>1.0</v>
      </c>
      <c r="C82" s="1">
        <v>3.32</v>
      </c>
      <c r="D82" s="1">
        <f t="shared" si="5"/>
        <v>13.5</v>
      </c>
      <c r="E82" s="2">
        <f t="shared" si="6"/>
        <v>0.04482</v>
      </c>
      <c r="F82" s="2">
        <f t="shared" si="7"/>
        <v>0.04482</v>
      </c>
      <c r="H82" s="1">
        <v>0.0</v>
      </c>
      <c r="I82" s="1">
        <v>23.0</v>
      </c>
      <c r="J82" s="2">
        <f t="shared" si="8"/>
        <v>23</v>
      </c>
    </row>
    <row r="83">
      <c r="A83" s="1" t="s">
        <v>145</v>
      </c>
      <c r="B83" s="1">
        <v>1.0</v>
      </c>
      <c r="C83" s="1">
        <v>0.72</v>
      </c>
      <c r="D83" s="1">
        <f t="shared" si="5"/>
        <v>13.5</v>
      </c>
      <c r="E83" s="2">
        <f t="shared" si="6"/>
        <v>0.00972</v>
      </c>
      <c r="F83" s="2">
        <f t="shared" si="7"/>
        <v>0.00972</v>
      </c>
      <c r="H83" s="1">
        <v>0.0</v>
      </c>
      <c r="I83" s="1">
        <v>7.0</v>
      </c>
      <c r="J83" s="2">
        <f t="shared" si="8"/>
        <v>7</v>
      </c>
    </row>
    <row r="84">
      <c r="A84" s="1" t="s">
        <v>146</v>
      </c>
      <c r="B84" s="1">
        <v>1.0</v>
      </c>
      <c r="C84" s="1">
        <v>194.17</v>
      </c>
      <c r="D84" s="1">
        <f t="shared" si="5"/>
        <v>13.5</v>
      </c>
      <c r="E84" s="2">
        <f t="shared" si="6"/>
        <v>2.621295</v>
      </c>
      <c r="F84" s="2">
        <f t="shared" si="7"/>
        <v>2.621295</v>
      </c>
      <c r="H84" s="1">
        <v>14.0</v>
      </c>
      <c r="I84" s="1">
        <v>57.0</v>
      </c>
      <c r="J84" s="2">
        <f t="shared" si="8"/>
        <v>897</v>
      </c>
    </row>
    <row r="85">
      <c r="A85" s="1" t="s">
        <v>147</v>
      </c>
      <c r="B85" s="1">
        <v>2.0</v>
      </c>
      <c r="C85" s="1">
        <v>28.65</v>
      </c>
      <c r="D85" s="1">
        <f t="shared" si="5"/>
        <v>13.5</v>
      </c>
      <c r="E85" s="2">
        <f t="shared" si="6"/>
        <v>0.386775</v>
      </c>
      <c r="F85" s="2">
        <f t="shared" si="7"/>
        <v>0.77355</v>
      </c>
      <c r="H85" s="1">
        <v>2.0</v>
      </c>
      <c r="I85" s="1">
        <v>17.0</v>
      </c>
      <c r="J85" s="2">
        <f t="shared" si="8"/>
        <v>274</v>
      </c>
    </row>
    <row r="86">
      <c r="A86" s="1" t="s">
        <v>148</v>
      </c>
      <c r="B86" s="1">
        <v>2.0</v>
      </c>
      <c r="C86" s="1">
        <v>8.77</v>
      </c>
      <c r="D86" s="1">
        <f t="shared" si="5"/>
        <v>13.5</v>
      </c>
      <c r="E86" s="2">
        <f t="shared" si="6"/>
        <v>0.118395</v>
      </c>
      <c r="F86" s="2">
        <f t="shared" si="7"/>
        <v>0.23679</v>
      </c>
      <c r="H86" s="1">
        <v>0.0</v>
      </c>
      <c r="I86" s="1">
        <v>48.0</v>
      </c>
      <c r="J86" s="2">
        <f t="shared" si="8"/>
        <v>96</v>
      </c>
    </row>
    <row r="87">
      <c r="A87" s="1" t="s">
        <v>149</v>
      </c>
      <c r="B87" s="1">
        <v>1.0</v>
      </c>
      <c r="C87" s="1">
        <v>27.55</v>
      </c>
      <c r="D87" s="1">
        <f t="shared" si="5"/>
        <v>13.5</v>
      </c>
      <c r="E87" s="2">
        <f t="shared" si="6"/>
        <v>0.371925</v>
      </c>
      <c r="F87" s="2">
        <f t="shared" si="7"/>
        <v>0.371925</v>
      </c>
      <c r="H87" s="1">
        <v>2.0</v>
      </c>
      <c r="I87" s="1">
        <v>14.0</v>
      </c>
      <c r="J87" s="2">
        <f t="shared" si="8"/>
        <v>134</v>
      </c>
    </row>
    <row r="88">
      <c r="A88" s="1" t="s">
        <v>150</v>
      </c>
      <c r="B88" s="1">
        <v>1.0</v>
      </c>
      <c r="C88" s="1">
        <v>7.27</v>
      </c>
      <c r="D88" s="1">
        <f t="shared" si="5"/>
        <v>13.5</v>
      </c>
      <c r="E88" s="2">
        <f t="shared" si="6"/>
        <v>0.098145</v>
      </c>
      <c r="F88" s="2">
        <f t="shared" si="7"/>
        <v>0.098145</v>
      </c>
      <c r="H88" s="1">
        <v>0.0</v>
      </c>
      <c r="I88" s="1">
        <v>41.0</v>
      </c>
      <c r="J88" s="2">
        <f t="shared" si="8"/>
        <v>41</v>
      </c>
    </row>
    <row r="89">
      <c r="A89" s="1" t="s">
        <v>151</v>
      </c>
      <c r="B89" s="1">
        <v>1.0</v>
      </c>
      <c r="C89" s="1">
        <v>6.88</v>
      </c>
      <c r="D89" s="1">
        <f t="shared" si="5"/>
        <v>13.5</v>
      </c>
      <c r="E89" s="2">
        <f t="shared" si="6"/>
        <v>0.09288</v>
      </c>
      <c r="F89" s="2">
        <f t="shared" si="7"/>
        <v>0.09288</v>
      </c>
      <c r="H89" s="1">
        <v>0.0</v>
      </c>
      <c r="I89" s="1">
        <v>39.0</v>
      </c>
      <c r="J89" s="2">
        <f t="shared" si="8"/>
        <v>39</v>
      </c>
    </row>
    <row r="90">
      <c r="A90" s="1" t="s">
        <v>152</v>
      </c>
      <c r="B90" s="1">
        <v>1.0</v>
      </c>
      <c r="C90" s="1">
        <v>97.65</v>
      </c>
      <c r="D90" s="1">
        <f t="shared" si="5"/>
        <v>13.5</v>
      </c>
      <c r="E90" s="2">
        <f t="shared" si="6"/>
        <v>1.318275</v>
      </c>
      <c r="F90" s="2">
        <f t="shared" si="7"/>
        <v>1.318275</v>
      </c>
      <c r="H90" s="1">
        <v>6.0</v>
      </c>
      <c r="I90" s="1">
        <v>55.0</v>
      </c>
      <c r="J90" s="2">
        <f t="shared" si="8"/>
        <v>415</v>
      </c>
    </row>
    <row r="91">
      <c r="A91" s="1" t="s">
        <v>153</v>
      </c>
      <c r="B91" s="1">
        <v>1.0</v>
      </c>
      <c r="C91" s="1">
        <v>36.12</v>
      </c>
      <c r="D91" s="1">
        <f t="shared" si="5"/>
        <v>13.5</v>
      </c>
      <c r="E91" s="2">
        <f t="shared" si="6"/>
        <v>0.48762</v>
      </c>
      <c r="F91" s="2">
        <f t="shared" si="7"/>
        <v>0.48762</v>
      </c>
      <c r="H91" s="1">
        <v>2.0</v>
      </c>
      <c r="I91" s="1">
        <v>49.0</v>
      </c>
      <c r="J91" s="2">
        <f t="shared" si="8"/>
        <v>169</v>
      </c>
    </row>
    <row r="92">
      <c r="A92" s="1" t="s">
        <v>154</v>
      </c>
      <c r="B92" s="1">
        <v>1.0</v>
      </c>
      <c r="C92" s="1">
        <v>96.46</v>
      </c>
      <c r="D92" s="1">
        <f t="shared" si="5"/>
        <v>13.5</v>
      </c>
      <c r="E92" s="2">
        <f t="shared" si="6"/>
        <v>1.30221</v>
      </c>
      <c r="F92" s="2">
        <f t="shared" si="7"/>
        <v>1.30221</v>
      </c>
      <c r="H92" s="1">
        <v>6.0</v>
      </c>
      <c r="I92" s="1">
        <v>41.0</v>
      </c>
      <c r="J92" s="2">
        <f t="shared" si="8"/>
        <v>401</v>
      </c>
    </row>
    <row r="93">
      <c r="A93" s="1" t="s">
        <v>155</v>
      </c>
      <c r="B93" s="1">
        <v>1.0</v>
      </c>
      <c r="C93" s="1">
        <v>35.89</v>
      </c>
      <c r="D93" s="1">
        <f t="shared" si="5"/>
        <v>13.5</v>
      </c>
      <c r="E93" s="2">
        <f t="shared" si="6"/>
        <v>0.484515</v>
      </c>
      <c r="F93" s="2">
        <f t="shared" si="7"/>
        <v>0.484515</v>
      </c>
      <c r="H93" s="1">
        <v>2.0</v>
      </c>
      <c r="I93" s="1">
        <v>50.0</v>
      </c>
      <c r="J93" s="2">
        <f t="shared" si="8"/>
        <v>170</v>
      </c>
    </row>
    <row r="94">
      <c r="A94" s="1" t="s">
        <v>156</v>
      </c>
      <c r="B94" s="1">
        <v>1.0</v>
      </c>
      <c r="C94" s="1">
        <v>11.32</v>
      </c>
      <c r="D94" s="1">
        <f t="shared" si="5"/>
        <v>13.5</v>
      </c>
      <c r="E94" s="2">
        <f t="shared" si="6"/>
        <v>0.15282</v>
      </c>
      <c r="F94" s="2">
        <f t="shared" si="7"/>
        <v>0.15282</v>
      </c>
      <c r="H94" s="1">
        <v>0.0</v>
      </c>
      <c r="I94" s="1">
        <v>54.0</v>
      </c>
      <c r="J94" s="2">
        <f t="shared" si="8"/>
        <v>54</v>
      </c>
    </row>
    <row r="95">
      <c r="A95" s="1" t="s">
        <v>157</v>
      </c>
      <c r="B95" s="1">
        <v>1.0</v>
      </c>
      <c r="C95" s="1">
        <v>57.52</v>
      </c>
      <c r="D95" s="1">
        <f t="shared" si="5"/>
        <v>13.5</v>
      </c>
      <c r="E95" s="2">
        <f t="shared" si="6"/>
        <v>0.77652</v>
      </c>
      <c r="F95" s="2">
        <f t="shared" si="7"/>
        <v>0.77652</v>
      </c>
      <c r="H95" s="1">
        <v>4.0</v>
      </c>
      <c r="I95" s="1">
        <v>40.0</v>
      </c>
      <c r="J95" s="2">
        <f t="shared" si="8"/>
        <v>280</v>
      </c>
    </row>
    <row r="96">
      <c r="A96" s="1" t="s">
        <v>158</v>
      </c>
      <c r="B96" s="1">
        <v>1.0</v>
      </c>
      <c r="C96" s="1">
        <v>57.58</v>
      </c>
      <c r="D96" s="1">
        <f t="shared" si="5"/>
        <v>13.5</v>
      </c>
      <c r="E96" s="2">
        <f t="shared" si="6"/>
        <v>0.77733</v>
      </c>
      <c r="F96" s="2">
        <f t="shared" si="7"/>
        <v>0.77733</v>
      </c>
      <c r="H96" s="1">
        <v>4.0</v>
      </c>
      <c r="I96" s="1">
        <v>41.0</v>
      </c>
      <c r="J96" s="2">
        <f t="shared" si="8"/>
        <v>281</v>
      </c>
    </row>
    <row r="97">
      <c r="A97" s="1" t="s">
        <v>159</v>
      </c>
      <c r="B97" s="1">
        <v>2.0</v>
      </c>
      <c r="C97" s="1">
        <v>101.31</v>
      </c>
      <c r="D97" s="1">
        <f t="shared" si="5"/>
        <v>13.5</v>
      </c>
      <c r="E97" s="2">
        <f t="shared" si="6"/>
        <v>1.367685</v>
      </c>
      <c r="F97" s="2">
        <f t="shared" si="7"/>
        <v>2.73537</v>
      </c>
      <c r="H97" s="1">
        <v>7.0</v>
      </c>
      <c r="I97" s="1">
        <v>30.0</v>
      </c>
      <c r="J97" s="2">
        <f t="shared" si="8"/>
        <v>900</v>
      </c>
    </row>
    <row r="98">
      <c r="A98" s="1" t="s">
        <v>160</v>
      </c>
      <c r="B98" s="1">
        <v>2.0</v>
      </c>
      <c r="C98" s="1">
        <v>92.7</v>
      </c>
      <c r="D98" s="1">
        <f t="shared" si="5"/>
        <v>13.5</v>
      </c>
      <c r="E98" s="2">
        <f t="shared" si="6"/>
        <v>1.25145</v>
      </c>
      <c r="F98" s="2">
        <f t="shared" si="7"/>
        <v>2.5029</v>
      </c>
      <c r="H98" s="1">
        <v>7.0</v>
      </c>
      <c r="I98" s="1">
        <v>0.0</v>
      </c>
      <c r="J98" s="2">
        <f t="shared" si="8"/>
        <v>840</v>
      </c>
    </row>
    <row r="99">
      <c r="A99" s="1" t="s">
        <v>161</v>
      </c>
      <c r="B99" s="1">
        <v>1.0</v>
      </c>
      <c r="C99" s="1">
        <v>2.95</v>
      </c>
      <c r="D99" s="1">
        <f t="shared" si="5"/>
        <v>13.5</v>
      </c>
      <c r="E99" s="2">
        <f t="shared" si="6"/>
        <v>0.039825</v>
      </c>
      <c r="F99" s="2">
        <f t="shared" si="7"/>
        <v>0.039825</v>
      </c>
      <c r="H99" s="1">
        <v>0.0</v>
      </c>
      <c r="I99" s="1">
        <v>21.0</v>
      </c>
      <c r="J99" s="2">
        <f t="shared" si="8"/>
        <v>21</v>
      </c>
    </row>
    <row r="100">
      <c r="A100" s="1" t="s">
        <v>162</v>
      </c>
      <c r="B100" s="1">
        <v>1.0</v>
      </c>
      <c r="C100" s="1">
        <v>12.07</v>
      </c>
      <c r="D100" s="1">
        <f t="shared" si="5"/>
        <v>13.5</v>
      </c>
      <c r="E100" s="2">
        <f t="shared" si="6"/>
        <v>0.162945</v>
      </c>
      <c r="F100" s="2">
        <f t="shared" si="7"/>
        <v>0.162945</v>
      </c>
      <c r="H100" s="1">
        <v>1.0</v>
      </c>
      <c r="I100" s="1">
        <v>23.0</v>
      </c>
      <c r="J100" s="2">
        <f t="shared" si="8"/>
        <v>83</v>
      </c>
    </row>
    <row r="101">
      <c r="A101" s="1" t="s">
        <v>163</v>
      </c>
      <c r="B101" s="1">
        <v>1.0</v>
      </c>
      <c r="C101" s="1">
        <v>3.46</v>
      </c>
      <c r="D101" s="1">
        <f t="shared" si="5"/>
        <v>13.5</v>
      </c>
      <c r="E101" s="2">
        <f t="shared" si="6"/>
        <v>0.04671</v>
      </c>
      <c r="F101" s="2">
        <f t="shared" si="7"/>
        <v>0.04671</v>
      </c>
      <c r="H101" s="1">
        <v>0.0</v>
      </c>
      <c r="I101" s="1">
        <v>24.0</v>
      </c>
      <c r="J101" s="2">
        <f t="shared" si="8"/>
        <v>24</v>
      </c>
    </row>
    <row r="102">
      <c r="A102" s="1" t="s">
        <v>164</v>
      </c>
      <c r="B102" s="1">
        <v>1.0</v>
      </c>
      <c r="C102" s="1">
        <v>24.89</v>
      </c>
      <c r="D102" s="1">
        <f t="shared" si="5"/>
        <v>13.5</v>
      </c>
      <c r="E102" s="2">
        <f t="shared" si="6"/>
        <v>0.336015</v>
      </c>
      <c r="F102" s="2">
        <f t="shared" si="7"/>
        <v>0.336015</v>
      </c>
      <c r="H102" s="1">
        <v>2.0</v>
      </c>
      <c r="I102" s="1">
        <v>2.0</v>
      </c>
      <c r="J102" s="2">
        <f t="shared" si="8"/>
        <v>122</v>
      </c>
    </row>
    <row r="103">
      <c r="A103" s="1" t="s">
        <v>165</v>
      </c>
      <c r="B103" s="1">
        <v>1.0</v>
      </c>
      <c r="C103" s="1">
        <v>5.4</v>
      </c>
      <c r="D103" s="1">
        <f t="shared" si="5"/>
        <v>13.5</v>
      </c>
      <c r="E103" s="2">
        <f t="shared" si="6"/>
        <v>0.0729</v>
      </c>
      <c r="F103" s="2">
        <f t="shared" si="7"/>
        <v>0.0729</v>
      </c>
      <c r="H103" s="1">
        <v>0.0</v>
      </c>
      <c r="I103" s="1">
        <v>32.0</v>
      </c>
      <c r="J103" s="2">
        <f t="shared" si="8"/>
        <v>32</v>
      </c>
    </row>
    <row r="104">
      <c r="A104" s="1" t="s">
        <v>166</v>
      </c>
      <c r="B104" s="1">
        <v>1.0</v>
      </c>
      <c r="C104" s="1">
        <v>5.03</v>
      </c>
      <c r="D104" s="1">
        <f t="shared" si="5"/>
        <v>13.5</v>
      </c>
      <c r="E104" s="2">
        <f t="shared" si="6"/>
        <v>0.067905</v>
      </c>
      <c r="F104" s="2">
        <f t="shared" si="7"/>
        <v>0.067905</v>
      </c>
      <c r="H104" s="1">
        <v>0.0</v>
      </c>
      <c r="I104" s="1">
        <v>29.0</v>
      </c>
      <c r="J104" s="2">
        <f t="shared" si="8"/>
        <v>29</v>
      </c>
    </row>
    <row r="105">
      <c r="A105" s="1" t="s">
        <v>167</v>
      </c>
      <c r="B105" s="1">
        <v>1.0</v>
      </c>
      <c r="C105" s="1">
        <v>17.45</v>
      </c>
      <c r="D105" s="1">
        <f t="shared" si="5"/>
        <v>13.5</v>
      </c>
      <c r="E105" s="2">
        <f t="shared" si="6"/>
        <v>0.235575</v>
      </c>
      <c r="F105" s="2">
        <f t="shared" si="7"/>
        <v>0.235575</v>
      </c>
      <c r="H105" s="1">
        <v>1.0</v>
      </c>
      <c r="I105" s="1">
        <v>33.0</v>
      </c>
      <c r="J105" s="2">
        <f t="shared" si="8"/>
        <v>93</v>
      </c>
    </row>
    <row r="106">
      <c r="A106" s="1" t="s">
        <v>168</v>
      </c>
      <c r="B106" s="1">
        <v>1.0</v>
      </c>
      <c r="C106" s="1">
        <v>20.17</v>
      </c>
      <c r="D106" s="1">
        <f t="shared" si="5"/>
        <v>13.5</v>
      </c>
      <c r="E106" s="2">
        <f t="shared" si="6"/>
        <v>0.272295</v>
      </c>
      <c r="F106" s="2">
        <f t="shared" si="7"/>
        <v>0.272295</v>
      </c>
      <c r="H106" s="1">
        <v>1.0</v>
      </c>
      <c r="I106" s="1">
        <v>47.0</v>
      </c>
      <c r="J106" s="2">
        <f t="shared" si="8"/>
        <v>107</v>
      </c>
    </row>
    <row r="107">
      <c r="A107" s="1" t="s">
        <v>169</v>
      </c>
      <c r="B107" s="1">
        <v>1.0</v>
      </c>
      <c r="C107" s="1">
        <v>22.2</v>
      </c>
      <c r="D107" s="1">
        <f t="shared" si="5"/>
        <v>13.5</v>
      </c>
      <c r="E107" s="2">
        <f t="shared" si="6"/>
        <v>0.2997</v>
      </c>
      <c r="F107" s="2">
        <f t="shared" si="7"/>
        <v>0.2997</v>
      </c>
      <c r="H107" s="1">
        <v>1.0</v>
      </c>
      <c r="I107" s="1">
        <v>57.0</v>
      </c>
      <c r="J107" s="2">
        <f t="shared" si="8"/>
        <v>117</v>
      </c>
    </row>
    <row r="108">
      <c r="D108" s="1">
        <f t="shared" si="5"/>
        <v>13.5</v>
      </c>
      <c r="E108" s="2">
        <f t="shared" si="6"/>
        <v>0</v>
      </c>
      <c r="F108" s="2">
        <f t="shared" si="7"/>
        <v>0</v>
      </c>
      <c r="J108" s="2">
        <f t="shared" si="8"/>
        <v>0</v>
      </c>
    </row>
    <row r="109">
      <c r="D109" s="1">
        <f t="shared" si="5"/>
        <v>13.5</v>
      </c>
      <c r="E109" s="2">
        <f t="shared" si="6"/>
        <v>0</v>
      </c>
      <c r="F109" s="2">
        <f t="shared" si="7"/>
        <v>0</v>
      </c>
      <c r="J109" s="2">
        <f t="shared" si="8"/>
        <v>0</v>
      </c>
    </row>
    <row r="110">
      <c r="D110" s="1">
        <f t="shared" si="5"/>
        <v>13.5</v>
      </c>
      <c r="E110" s="2">
        <f t="shared" si="6"/>
        <v>0</v>
      </c>
      <c r="F110" s="2">
        <f t="shared" si="7"/>
        <v>0</v>
      </c>
      <c r="J110" s="2">
        <f t="shared" si="8"/>
        <v>0</v>
      </c>
    </row>
    <row r="111">
      <c r="D111" s="1">
        <f t="shared" si="5"/>
        <v>13.5</v>
      </c>
      <c r="E111" s="2">
        <f t="shared" si="6"/>
        <v>0</v>
      </c>
      <c r="F111" s="2">
        <f t="shared" si="7"/>
        <v>0</v>
      </c>
      <c r="J111" s="2">
        <f t="shared" si="8"/>
        <v>0</v>
      </c>
    </row>
    <row r="112">
      <c r="D112" s="1">
        <f t="shared" si="5"/>
        <v>13.5</v>
      </c>
      <c r="E112" s="2">
        <f t="shared" si="6"/>
        <v>0</v>
      </c>
      <c r="F112" s="2">
        <f t="shared" si="7"/>
        <v>0</v>
      </c>
      <c r="J112" s="2">
        <f t="shared" si="8"/>
        <v>0</v>
      </c>
    </row>
    <row r="113">
      <c r="D113" s="1">
        <f t="shared" si="5"/>
        <v>13.5</v>
      </c>
      <c r="E113" s="2">
        <f t="shared" si="6"/>
        <v>0</v>
      </c>
      <c r="F113" s="2">
        <f t="shared" si="7"/>
        <v>0</v>
      </c>
      <c r="J113" s="2">
        <f t="shared" si="8"/>
        <v>0</v>
      </c>
    </row>
    <row r="114">
      <c r="D114" s="1">
        <f t="shared" si="5"/>
        <v>13.5</v>
      </c>
      <c r="E114" s="2">
        <f t="shared" si="6"/>
        <v>0</v>
      </c>
      <c r="F114" s="2">
        <f t="shared" si="7"/>
        <v>0</v>
      </c>
      <c r="J114" s="2">
        <f t="shared" si="8"/>
        <v>0</v>
      </c>
    </row>
    <row r="115">
      <c r="D115" s="1">
        <f t="shared" si="5"/>
        <v>13.5</v>
      </c>
      <c r="E115" s="2">
        <f t="shared" si="6"/>
        <v>0</v>
      </c>
      <c r="F115" s="2">
        <f t="shared" si="7"/>
        <v>0</v>
      </c>
      <c r="J115" s="2">
        <f t="shared" si="8"/>
        <v>0</v>
      </c>
    </row>
    <row r="116">
      <c r="D116" s="1">
        <f t="shared" si="5"/>
        <v>13.5</v>
      </c>
      <c r="E116" s="2">
        <f t="shared" si="6"/>
        <v>0</v>
      </c>
      <c r="F116" s="2">
        <f t="shared" si="7"/>
        <v>0</v>
      </c>
      <c r="J116" s="2">
        <f t="shared" si="8"/>
        <v>0</v>
      </c>
    </row>
    <row r="117">
      <c r="D117" s="1">
        <f t="shared" si="5"/>
        <v>13.5</v>
      </c>
      <c r="E117" s="2">
        <f t="shared" si="6"/>
        <v>0</v>
      </c>
      <c r="F117" s="2">
        <f t="shared" si="7"/>
        <v>0</v>
      </c>
      <c r="J117" s="2">
        <f t="shared" si="8"/>
        <v>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41"/>
    <hyperlink r:id="rId39" ref="H42"/>
    <hyperlink r:id="rId40" ref="H43"/>
    <hyperlink r:id="rId41" ref="H44"/>
    <hyperlink r:id="rId42" ref="H45"/>
    <hyperlink r:id="rId43" ref="H46"/>
    <hyperlink r:id="rId44" ref="H47"/>
    <hyperlink r:id="rId45" ref="H48"/>
    <hyperlink r:id="rId46" ref="H49"/>
    <hyperlink r:id="rId47" ref="H50"/>
    <hyperlink r:id="rId48" ref="H51"/>
    <hyperlink r:id="rId49" ref="H52"/>
    <hyperlink r:id="rId50" ref="H53"/>
    <hyperlink r:id="rId51" ref="H54"/>
    <hyperlink r:id="rId52" ref="H55"/>
    <hyperlink r:id="rId53" ref="H56"/>
  </hyperlinks>
  <drawing r:id="rId54"/>
</worksheet>
</file>